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C:\Users\S1380512\Downloads\"/>
    </mc:Choice>
  </mc:AlternateContent>
  <xr:revisionPtr revIDLastSave="0" documentId="13_ncr:1_{FF27F3A9-7DDC-49A1-801B-7F038F3EFFE7}" xr6:coauthVersionLast="47" xr6:coauthVersionMax="47" xr10:uidLastSave="{00000000-0000-0000-0000-000000000000}"/>
  <bookViews>
    <workbookView xWindow="28680" yWindow="-120" windowWidth="29040" windowHeight="17640" activeTab="2" xr2:uid="{00000000-000D-0000-FFFF-FFFF00000000}"/>
  </bookViews>
  <sheets>
    <sheet name="Feedback data sheet" sheetId="2" r:id="rId1"/>
    <sheet name="Tables" sheetId="3" r:id="rId2"/>
    <sheet name="Pivots" sheetId="4" r:id="rId3"/>
  </sheets>
  <definedNames>
    <definedName name="___thinkcellDCFAAAAAAAAAAAAAAAAEIIFS4CSMX52BXIDYRON7FYLPS" localSheetId="1" hidden="1">Tables!$N$10:$O$20</definedName>
    <definedName name="___thinkcellDCFAAAAAAAAAAAYAAAAEJGGCI4KIJHCPVTAIB5R67IXMU" localSheetId="1" hidden="1">Tables!$L$10:$M$15</definedName>
    <definedName name="_xlnm._FilterDatabase" localSheetId="0" hidden="1">'Feedback data sheet'!$B$1:$L$118</definedName>
  </definedNames>
  <calcPr calcId="191028"/>
  <pivotCaches>
    <pivotCache cacheId="61"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8" i="4" l="1"/>
  <c r="P38" i="4"/>
  <c r="Q38" i="4"/>
  <c r="O39" i="4"/>
  <c r="P39" i="4"/>
  <c r="Q39" i="4" s="1"/>
  <c r="O40" i="4"/>
  <c r="P40" i="4"/>
  <c r="Q40" i="4" s="1"/>
  <c r="O41" i="4"/>
  <c r="P41" i="4"/>
  <c r="Q41" i="4"/>
  <c r="O42" i="4"/>
  <c r="P42" i="4"/>
  <c r="Q42" i="4"/>
  <c r="O43" i="4"/>
  <c r="P43" i="4"/>
  <c r="Q43" i="4"/>
  <c r="Q37" i="4"/>
  <c r="P37" i="4"/>
  <c r="O37" i="4"/>
  <c r="R20" i="3"/>
  <c r="R18" i="3"/>
  <c r="R19" i="3"/>
  <c r="L6" i="4"/>
  <c r="I6" i="4"/>
  <c r="I7" i="4"/>
  <c r="I8" i="4"/>
  <c r="I9" i="4"/>
  <c r="I10" i="4"/>
  <c r="I11" i="4"/>
  <c r="I5" i="4"/>
  <c r="M16" i="3"/>
  <c r="P11" i="3"/>
  <c r="P12" i="3"/>
  <c r="P13" i="3"/>
  <c r="P14" i="3"/>
  <c r="P15" i="3"/>
  <c r="P16" i="3"/>
  <c r="P17" i="3"/>
  <c r="P18" i="3"/>
  <c r="P19" i="3"/>
  <c r="P20" i="3"/>
  <c r="B10" i="3"/>
  <c r="I12" i="3"/>
  <c r="I13" i="3"/>
  <c r="I14" i="3"/>
  <c r="I15" i="3"/>
  <c r="I16" i="3"/>
  <c r="I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11" i="3"/>
  <c r="O12" i="3"/>
  <c r="O13" i="3"/>
  <c r="O14" i="3"/>
  <c r="O15" i="3"/>
  <c r="O16" i="3"/>
  <c r="O17" i="3"/>
  <c r="O18" i="3"/>
  <c r="O19" i="3"/>
  <c r="O20" i="3"/>
  <c r="M12" i="3"/>
  <c r="M13" i="3"/>
  <c r="M14" i="3"/>
  <c r="M15" i="3"/>
  <c r="K12" i="3"/>
  <c r="H12" i="3"/>
  <c r="H13" i="3"/>
  <c r="H14" i="3"/>
  <c r="H15" i="3"/>
  <c r="H16" i="3"/>
  <c r="O11" i="3"/>
  <c r="M11" i="3"/>
  <c r="H11" i="3"/>
  <c r="K11" i="3"/>
  <c r="F12" i="3"/>
  <c r="F13" i="3"/>
  <c r="F14" i="3"/>
  <c r="F15" i="3"/>
  <c r="F16" i="3"/>
  <c r="F17" i="3"/>
  <c r="F18" i="3"/>
  <c r="F11" i="3"/>
  <c r="K13"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Pan, Sophie</author>
  </authors>
  <commentList>
    <comment ref="K107" authorId="0" shapeId="0" xr:uid="{8439CEB0-80AD-42E6-BC4A-547409285D01}">
      <text>
        <r>
          <rPr>
            <b/>
            <sz val="9"/>
            <color indexed="81"/>
            <rFont val="Tahoma"/>
            <charset val="1"/>
          </rPr>
          <t>Pan, Sophie:</t>
        </r>
        <r>
          <rPr>
            <sz val="9"/>
            <color indexed="81"/>
            <rFont val="Tahoma"/>
            <charset val="1"/>
          </rPr>
          <t xml:space="preserve">
Is this for security or engineering?</t>
        </r>
      </text>
    </comment>
  </commentList>
</comments>
</file>

<file path=xl/sharedStrings.xml><?xml version="1.0" encoding="utf-8"?>
<sst xmlns="http://schemas.openxmlformats.org/spreadsheetml/2006/main" count="884" uniqueCount="339">
  <si>
    <t>ID</t>
  </si>
  <si>
    <t>Name</t>
  </si>
  <si>
    <t>Where was the work located?</t>
  </si>
  <si>
    <t>What type of work are you providing feedback on?</t>
  </si>
  <si>
    <t>Please provide us with more information on what you requested our help with. This is especially helpful if you do not have a reference number, or if you selected "other" for question 4.</t>
  </si>
  <si>
    <t>When did you make the request</t>
  </si>
  <si>
    <t>Were you satisfied with the time it took to complete the work?</t>
  </si>
  <si>
    <t>In your opinion, please rate out of 5 how committed our team were to delivering outstanding customer service?</t>
  </si>
  <si>
    <t>Please provide us with any other feedback in your own words here.</t>
  </si>
  <si>
    <t>How likely are you to recommend this service to others at King's?</t>
  </si>
  <si>
    <t>Dorothy Gale</t>
  </si>
  <si>
    <t>Guy's Campus - all buildings except New Hunts House</t>
  </si>
  <si>
    <t>Broken Toilet</t>
  </si>
  <si>
    <t>No</t>
  </si>
  <si>
    <t>No response or feedback received til 3 days after submitting the request</t>
  </si>
  <si>
    <t>Bella Papa</t>
  </si>
  <si>
    <t>A King's Residence</t>
  </si>
  <si>
    <t>Yes</t>
  </si>
  <si>
    <t>Dez Yorna</t>
  </si>
  <si>
    <t>Aydin Anderson</t>
  </si>
  <si>
    <t>Security</t>
  </si>
  <si>
    <t>Ike West</t>
  </si>
  <si>
    <t>Mulan Hua</t>
  </si>
  <si>
    <t>Waterloo Campus - Franklin Wilkins Building</t>
  </si>
  <si>
    <t>David Sergant</t>
  </si>
  <si>
    <t>Fred Waltz</t>
  </si>
  <si>
    <t>Guy's Campus - New Hunts House</t>
  </si>
  <si>
    <t>Jenny Birmingham</t>
  </si>
  <si>
    <t>Selma Grant</t>
  </si>
  <si>
    <t>Residences - Applications</t>
  </si>
  <si>
    <t>Zane Chu</t>
  </si>
  <si>
    <t>Warren Tracey</t>
  </si>
  <si>
    <t>Ron Tempernillo</t>
  </si>
  <si>
    <t>Denmark Hill Campus</t>
  </si>
  <si>
    <t>Peter Parker</t>
  </si>
  <si>
    <t>St Thomas's Campus</t>
  </si>
  <si>
    <t>Cleaning</t>
  </si>
  <si>
    <t>Ryan Burke</t>
  </si>
  <si>
    <t>Anthony Alan</t>
  </si>
  <si>
    <t>WEEE collection</t>
  </si>
  <si>
    <t>Elaine Hertz</t>
  </si>
  <si>
    <t>Ha-Hei Long</t>
  </si>
  <si>
    <t>Oliver Marks</t>
  </si>
  <si>
    <t>Laila Stone</t>
  </si>
  <si>
    <t>Eli Bruce</t>
  </si>
  <si>
    <t>Chanel Hubbard</t>
  </si>
  <si>
    <t>Kat Wallace</t>
  </si>
  <si>
    <t>Kim Li</t>
  </si>
  <si>
    <t>Ed Salter</t>
  </si>
  <si>
    <t>Tracey Darren</t>
  </si>
  <si>
    <t>Sean Stewart</t>
  </si>
  <si>
    <t>Fay Connors</t>
  </si>
  <si>
    <t>Sheila Oz</t>
  </si>
  <si>
    <t>Erin Watts</t>
  </si>
  <si>
    <t>Lorna Chills</t>
  </si>
  <si>
    <t>Ben Wills</t>
  </si>
  <si>
    <t>Chang Moon</t>
  </si>
  <si>
    <t>Erik Marks</t>
  </si>
  <si>
    <t>Val Wright</t>
  </si>
  <si>
    <t>Bic Runga</t>
  </si>
  <si>
    <t>Johan Kim</t>
  </si>
  <si>
    <t>Andy Chan</t>
  </si>
  <si>
    <t>Will Samson</t>
  </si>
  <si>
    <t>Barbara Benneditto</t>
  </si>
  <si>
    <t>Claire King</t>
  </si>
  <si>
    <t>Zoe Liu</t>
  </si>
  <si>
    <t>Sarah Merry</t>
  </si>
  <si>
    <t>Dipak Patel</t>
  </si>
  <si>
    <t>Samantha Rake</t>
  </si>
  <si>
    <t>Caz West</t>
  </si>
  <si>
    <t xml:space="preserve">Dan Ivanovich </t>
  </si>
  <si>
    <t>Ray Wilson</t>
  </si>
  <si>
    <t>Jimmy Chin</t>
  </si>
  <si>
    <t>Macey Green</t>
  </si>
  <si>
    <t>Bruce Wayne</t>
  </si>
  <si>
    <t>Strand Campus - all buildings, including Virginia Woolf &amp; Maughan Library</t>
  </si>
  <si>
    <t>Claire Bale</t>
  </si>
  <si>
    <t>Bernie McGill</t>
  </si>
  <si>
    <t>Steve Peppers</t>
  </si>
  <si>
    <t>Erin Dreaver</t>
  </si>
  <si>
    <t>Fern Maine</t>
  </si>
  <si>
    <t>Gill West</t>
  </si>
  <si>
    <t>Rita Leaf</t>
  </si>
  <si>
    <t>Bo Runga</t>
  </si>
  <si>
    <t>Garth Eager</t>
  </si>
  <si>
    <t>Dean Hoki</t>
  </si>
  <si>
    <t>Jim Greene</t>
  </si>
  <si>
    <t>Atlas Steel</t>
  </si>
  <si>
    <t>Tim Xi</t>
  </si>
  <si>
    <t>Kelly Riley</t>
  </si>
  <si>
    <t>Taylor Meekes</t>
  </si>
  <si>
    <t>Graham Smith</t>
  </si>
  <si>
    <t>Abby Smith</t>
  </si>
  <si>
    <t>Start Time</t>
  </si>
  <si>
    <t>If your feedback requires further action from us, such as an incomplete piece of work, please provide your email address below so that we can get back to you.</t>
  </si>
  <si>
    <t>Hard services (e.g. lighting, plumbing, decorating, heating/cooling, fabrics etc.)</t>
  </si>
  <si>
    <t>Residences - In House Service</t>
  </si>
  <si>
    <t>Carpet cleaning post furniture removal.</t>
  </si>
  <si>
    <t>The team did a great job in a very timely manner. Many thanks!</t>
  </si>
  <si>
    <t>Soft Services (e.g. moving furniture, room set up, WEEE collection, pest control, internal deliveries between campuses etc.)</t>
  </si>
  <si>
    <t>Waterloo Campus - James Clerk Maxwell &amp; Waterloo Bridge Wing</t>
  </si>
  <si>
    <t>I asked for computer monitors to be moved to Bush House</t>
  </si>
  <si>
    <t>Excellent Service! The monitors arrived on 1/6/2023</t>
  </si>
  <si>
    <t>Removal of old equipment</t>
  </si>
  <si>
    <t>Quick and efficient removal of equipment. Couldn't be bettered</t>
  </si>
  <si>
    <t>Repair of a lavatory seat in disabled loo -1.16</t>
  </si>
  <si>
    <t>I was pleasantly surprised to find that the loo seat had been replaced the day after I put in the ticket. Reamarkably quick work.</t>
  </si>
  <si>
    <t>Plumbing</t>
  </si>
  <si>
    <t>Collection of cage of poster boards.</t>
  </si>
  <si>
    <t>Ventilation in Study Café rooms for the Geography Department.</t>
  </si>
  <si>
    <t>It shouldn't take almost two months to check the ventilation of 3 rooms.</t>
  </si>
  <si>
    <t>I requested that the heating in a lecture theatre be turned up as the room was too cold</t>
  </si>
  <si>
    <t>I did not feel a difference in temperature while I was in there, perhaps the room needed longer to warm up</t>
  </si>
  <si>
    <t xml:space="preserve">I often cycle to Bush House and then shower. I shower at the gym once a week as well, and I find the water temperature just a bit too cold. I know it’s important to save energy, so I feel bad for asking, but could you turn the water heat up by just a degree or two? I don’t want to be shivering in the shower anymore! </t>
  </si>
  <si>
    <t>n/a</t>
  </si>
  <si>
    <t>addressing foul smell in women's toilets -- plumbing or cleaning problem which had last more than a month.</t>
  </si>
  <si>
    <t>Very prompt response; successful resolution to a long-standing problem affecting all women on S8</t>
  </si>
  <si>
    <t xml:space="preserve">Power cut off in the cafe </t>
  </si>
  <si>
    <t xml:space="preserve">Power cut of in our one of cafe. Team arrived very quickly and solved the problem </t>
  </si>
  <si>
    <t>N/A</t>
  </si>
  <si>
    <t>Empty Confidential Waste Bin</t>
  </si>
  <si>
    <t>Excellent Service as ever by Facilities team, Thank you</t>
  </si>
  <si>
    <t>The radiator wasn't heating up efficiently, meaning that my office only ever came to 15 degrees centigrade and no higher. I was doing meetings in my coat and hat! It seems to be sorted now, so thanks a million - lifesavers!</t>
  </si>
  <si>
    <t>I didn't receive any ongoing updates as to the progression of the case, which might have been useful. Moreover, it seems to have been fixed, because one day I entered the office and found it fully functional, but I had to discover this for myself. A little bit more constant communication would have been beneficial, but overall I'm highly satisfied. Thank you.</t>
  </si>
  <si>
    <t>Electrical waste collection</t>
  </si>
  <si>
    <t>Lights not working</t>
  </si>
  <si>
    <t>The team was fantastic. I was really impressed with how quickly they came back to request more details, and then came to fix the problem.</t>
  </si>
  <si>
    <t>Please confirm the engineering comments / what was actually done and when in relation to my request. My request was in relation to a H&amp;S issue thus I require a record of suitable timely response.</t>
  </si>
  <si>
    <t>Comments of how the job was complete should be standard in the closing ticket email.</t>
  </si>
  <si>
    <t xml:space="preserve">New window blind fitted </t>
  </si>
  <si>
    <t xml:space="preserve">I had to chase up 3 times. </t>
  </si>
  <si>
    <t>Two lights not working; one is on a very high ceiling that requires scaffolding</t>
  </si>
  <si>
    <t>Lower light was fixed; someone came to assess for scaffolding and said it would be done before Christmas in the quieter period, but the work hasn't been done and the ticket is closed.</t>
  </si>
  <si>
    <t xml:space="preserve">fixing up new hooks for lab coats in main lab </t>
  </si>
  <si>
    <t xml:space="preserve">gereat stuff - all done really quickly thanks </t>
  </si>
  <si>
    <t>Desk moves.</t>
  </si>
  <si>
    <t>Work completed quickly and efficiently - many thanks!</t>
  </si>
  <si>
    <t>WEEE removal</t>
  </si>
  <si>
    <t>Leaky water fountain</t>
  </si>
  <si>
    <t>Would be great to get more information about the way the problem was solved, what dificulties were faced and how it has influenced long term policy. I've noticed that there may be other water fountains with the same issue, have they been reviewed? how did you fix it? Was it a one off or can we expect hits problem to continue happening? etc</t>
  </si>
  <si>
    <t>Handrail on steps is wobbly</t>
  </si>
  <si>
    <t>The ticket has been marked as 'completed' but the handrail is still wobbly.</t>
  </si>
  <si>
    <t>The request was for removal of bulk general waste as I am clearing my office.</t>
  </si>
  <si>
    <t>The service was so efficient and smooth. THank you.</t>
  </si>
  <si>
    <t>The fire exit sign above the door to this workspace had been knocked off by the door that opens into it. We could not reattach it to the ceiling.</t>
  </si>
  <si>
    <t>Very good. The sign is now reattached.</t>
  </si>
  <si>
    <t>Lights not working in the Anatomy Museum K6.36</t>
  </si>
  <si>
    <t>The team went above and beyond to make sure that the lights were working properly very soon after I reported it. This meant that our performances could go ahead and the audience were very happy. Thanks very much to Robson and the whole team.</t>
  </si>
  <si>
    <t>Furniture removal and temporary storage ahead of refurbishment works</t>
  </si>
  <si>
    <t>Edwar and the team went above and beyond on this job, many thanks!</t>
  </si>
  <si>
    <t>Fix leak from ceiling</t>
  </si>
  <si>
    <t>It would be good when engineers came to look into the problem to contact us so someone is on site and in person to ask questions and understand the issue during it is being looked at and fixed so potentially we can also fix the issue oursleves and understand what caused the problem better for next time.</t>
  </si>
  <si>
    <t>Carpet deep cleaning</t>
  </si>
  <si>
    <t>Job well done and on time</t>
  </si>
  <si>
    <t>Good work</t>
  </si>
  <si>
    <t>Fixing house lights in the Science Gallery Theatre</t>
  </si>
  <si>
    <t>Brilliant fix from the electrical guys - thank you</t>
  </si>
  <si>
    <t>A disabled toilet was blocked and overflowed.</t>
  </si>
  <si>
    <t>I saw a member of staff going to clear the bathroom within a short amount of time.</t>
  </si>
  <si>
    <t>Put up item (noticeboard/whiteboard/hooks etc)</t>
  </si>
  <si>
    <t xml:space="preserve">Delay was not due to Estates but after the first visit, we realised the work was more involved and we have to purchase a new picture frames before Estates ciould complete the job. Overall, we are very satisfied.t </t>
  </si>
  <si>
    <t>At present I am clearing my office. Estates and facilities are helping enormously with the disposal of certain items, including confidential  waste.</t>
  </si>
  <si>
    <t>It is so helpful to have this professional, efficient support from Estates and Facilities. Thank you.</t>
  </si>
  <si>
    <t xml:space="preserve">Empty sanitary dispenser </t>
  </si>
  <si>
    <t>Very quick response via email. Received an update once the request had been completed</t>
  </si>
  <si>
    <t>I noticed a door closer was broken and hanging loose and so when the door was opened, it would swing shut onto the broken bit preventing it from closing securely and locking, so this was a security risk as it meant the door could not guarantee to close completely and was just beeping.</t>
  </si>
  <si>
    <t>I dislike the way that my ticket is resolved with absolutely no information about what was done to resolve it. I should see some resolution description about what was done eg 'door lock was replaced/broken glass was replaced, door was locked while we wait for access to be protected etc etc'. I am glad my query was dealt with quickly but I want to see what was actually done in my ticket resolution please.</t>
  </si>
  <si>
    <t>Making an additional key</t>
  </si>
  <si>
    <t xml:space="preserve">I am grateful to receive the key, and communications from Estates have been helpful, but I was surprised that it took 20 working days to produce a key (as were King's security!). Qu. 10 below seems to me to be irrelevant as I understood that the key had to be manufactured by King's Estates. </t>
  </si>
  <si>
    <t xml:space="preserve">put up new key holders 3rd floor </t>
  </si>
  <si>
    <t xml:space="preserve">great response time thank you </t>
  </si>
  <si>
    <t>I needed to clear my office</t>
  </si>
  <si>
    <t>excellent service, thank you</t>
  </si>
  <si>
    <t>Lift Remedial</t>
  </si>
  <si>
    <t xml:space="preserve">Excellent </t>
  </si>
  <si>
    <t>Repair of door closure mechanism - main doors to floor so a security issue</t>
  </si>
  <si>
    <t>Isaac arrived in double quick time and repaired the door quickly, explaining what was wrong. He's a really nice bloke too!</t>
  </si>
  <si>
    <t>batteries need replacing in fire exit signs as they are beeping due to low battery</t>
  </si>
  <si>
    <t>At least one of the signs is still beeping so the work wasn't completed. However 6 months after being raised, the request was closed.</t>
  </si>
  <si>
    <t>Request for residence application</t>
  </si>
  <si>
    <t>Helpful and swift response from Liam</t>
  </si>
  <si>
    <t>requested help with online portal issue</t>
  </si>
  <si>
    <t>Jas/Jaz was really helpful on the residences phone number. Thank you!</t>
  </si>
  <si>
    <t>Moving IT equipment from FWB to Lavington Street, as IT cannot deliver to Lavington Street</t>
  </si>
  <si>
    <t>The team were extremely responsive and helpful. Very impressed and much appreciated!</t>
  </si>
  <si>
    <t xml:space="preserve">a faulty lock on disabled toilet door </t>
  </si>
  <si>
    <t>Quick Response</t>
  </si>
  <si>
    <t>overflowing urinals</t>
  </si>
  <si>
    <t>An efficient system and service</t>
  </si>
  <si>
    <t xml:space="preserve">removl/ disposal of old incubator - by Dan and team. </t>
  </si>
  <si>
    <t>thank you for being so quick!</t>
  </si>
  <si>
    <t>moving tables etc 2nd floor JBC</t>
  </si>
  <si>
    <t xml:space="preserve">great team - thanks </t>
  </si>
  <si>
    <t>Squeaky doors in Counselling corridor in Henriette Raphael</t>
  </si>
  <si>
    <t>Dealt with at the time I had requested before colleagues were seeing students. Very efficient and courteous.</t>
  </si>
  <si>
    <t>air conditioning</t>
  </si>
  <si>
    <t>the issue was fully ignored.</t>
  </si>
  <si>
    <t>Fire door closing mechanism</t>
  </si>
  <si>
    <t>A card access was not working properly</t>
  </si>
  <si>
    <t xml:space="preserve">great work, quick and efficient </t>
  </si>
  <si>
    <t>Although the job was reported as completed, the lid of cistern was removed and flush was not fixed</t>
  </si>
  <si>
    <t>The cistern lid  was removed and eventually my colleaugue fixed it themselves and put the lid back, so the flush is now working, but had to be fixed by a member of staff. WE are unhappy that the job is reported as completed, with no further information &amp; a member of staff fixed it themselves.</t>
  </si>
  <si>
    <t>Please use another word like pending, if not complete- it is misleading &amp; incorrect.</t>
  </si>
  <si>
    <t>All lights not working in room</t>
  </si>
  <si>
    <t>It took them nearly half a year to fix the lights, and one and half years to send me the notice that the ticket is closed. Amazing!</t>
  </si>
  <si>
    <t>Providing poster boards and setting up the room</t>
  </si>
  <si>
    <t>The poster boards have been provided in good time and in accordance with the request, the room has been set up very well. Thank you so much!</t>
  </si>
  <si>
    <t>Replacing a ceiling light</t>
  </si>
  <si>
    <t>Thanks for the swift service</t>
  </si>
  <si>
    <t>Lost ring down sink</t>
  </si>
  <si>
    <t>I lost a sentimental ring down the sink - couldn't believe it was retrieved so quickly. So thankful!</t>
  </si>
  <si>
    <t>I asked for x5 WEEE items to be collected (x3 hard drives, small scanner and printer cartridge)</t>
  </si>
  <si>
    <t>Nick (from IoPPN) collected all the items very promptly and efficiently this morning which is really great. Thanks very much.</t>
  </si>
  <si>
    <t>Moving an incubator between labs</t>
  </si>
  <si>
    <t>Staff at JBC are very competent and helpful.</t>
  </si>
  <si>
    <t xml:space="preserve">Paint Lamppost </t>
  </si>
  <si>
    <t>Great job</t>
  </si>
  <si>
    <t>We had a new kitchen installed but the water cooler was not plumbed back in.</t>
  </si>
  <si>
    <t>They also forgot to do this when they installed a new kitchen on the 1st floor.</t>
  </si>
  <si>
    <t xml:space="preserve">Light bulbs needing replacing </t>
  </si>
  <si>
    <t>Quick to reply and resolve the problem</t>
  </si>
  <si>
    <t>collect confidential waste bags and provide new ones with cable ties</t>
  </si>
  <si>
    <t>very quick and efficient service from a professional member of your team</t>
  </si>
  <si>
    <t>Fluorescent tube changes</t>
  </si>
  <si>
    <t>The cogs and gears that keep KCL working, I have great respect for all Estates team members.  Many thanks!</t>
  </si>
  <si>
    <t>Toilet next to room 2.90W Hodgkin Building not flushing</t>
  </si>
  <si>
    <t>The maintenance guy (sorry I don't have his name) informed me that the problem with the toilet is not the flush mechanist but rather the supply of water from some tank that is faulty and scheduled to be repaired.  The guy was extremely helpful in describing the nature of the problem  I was are very much appreciative of his dedication to all of out needs including this particular one</t>
  </si>
  <si>
    <t>WEEE collection and other furniture/equipment clearance</t>
  </si>
  <si>
    <t>Nick was lovely, friendly and efficient, thank you!</t>
  </si>
  <si>
    <t xml:space="preserve">Power cut in my office because of water spillage </t>
  </si>
  <si>
    <t xml:space="preserve">Thank you so much for your help. </t>
  </si>
  <si>
    <t>Broken door handle</t>
  </si>
  <si>
    <t>Job done on time</t>
  </si>
  <si>
    <t>temperature</t>
  </si>
  <si>
    <t>there was no response, the ticket was just closed (over a month later) with no info</t>
  </si>
  <si>
    <t>Emergency help  with moving office furniture by the end of the day</t>
  </si>
  <si>
    <t>Person who took my request at lunch time was really polite and manage to get Estates team to come out within 2 hours to help me swap office furniture around in two offices, and help reassemble tables. Thanks to the person who took my telephone request and the two chaps who came to help out!</t>
  </si>
  <si>
    <t>key card to room didn't work</t>
  </si>
  <si>
    <t>Very quick response and job sorted in a matter of hours</t>
  </si>
  <si>
    <t>Card reader stopped working. We couldn't get access to our control room</t>
  </si>
  <si>
    <t>As usual quick and great work perfomed</t>
  </si>
  <si>
    <t>Excellent service, Colleagues called and confirm completion the set up which was fantastic gesture. Thank you</t>
  </si>
  <si>
    <t>AC not working</t>
  </si>
  <si>
    <t xml:space="preserve">No </t>
  </si>
  <si>
    <t>several light bulbs are not working in JCMB 3.21 anymore and needs replacing</t>
  </si>
  <si>
    <t>Someone came and had a look at a couple of lights, left, said they would be back the following day but never did. All the blown lights are the same as before.</t>
  </si>
  <si>
    <t>reset locker password</t>
  </si>
  <si>
    <t>Would like to have more responsive assistance, esp not marking a request as completed without no information sent (we still do not know what has been changed).</t>
  </si>
  <si>
    <t>Was professionally set up.</t>
  </si>
  <si>
    <t>We asked for 1 Poster Board to be set up in IoPPN Seminar Room 4.</t>
  </si>
  <si>
    <t>Was professionally set up for confidential Poster exam session and chairs were nicely placed in front of the board.</t>
  </si>
  <si>
    <t>We asked for 3 Poster Boards to be set up in IoPPN Seminar Room 1 and 1 Poster Board to be set up in Seminar Room 2.</t>
  </si>
  <si>
    <t>no hot water in ensuite</t>
  </si>
  <si>
    <t>Very friendly and helpful</t>
  </si>
  <si>
    <t>perfect</t>
  </si>
  <si>
    <t>Blocked sink</t>
  </si>
  <si>
    <t xml:space="preserve">Great turnaround time. It looked like the hot water tap pipe is dripping when used though. </t>
  </si>
  <si>
    <t>My desk lamp light bulb wasn't working and needed to be replaced.</t>
  </si>
  <si>
    <t>I'm happy with how quickly the light bulb was replaced. Thank you!</t>
  </si>
  <si>
    <t>Removal/disposal, bulk recycling</t>
  </si>
  <si>
    <t>Considering how busy it is at this time of year, this request was dealt with promptly and efficiently.</t>
  </si>
  <si>
    <t xml:space="preserve">To put up a toilet roll dispenser </t>
  </si>
  <si>
    <t xml:space="preserve">Good service provided </t>
  </si>
  <si>
    <t>Broken tap</t>
  </si>
  <si>
    <t>Defective office ceiling light</t>
  </si>
  <si>
    <t>Really fast solution and clear communication</t>
  </si>
  <si>
    <t>Leaking sink</t>
  </si>
  <si>
    <t>I don't think anyone did anything with these fire doors.  They still get stuck.  I only submitted the ticket yesterday, so I can't imagien anything has actually been done.</t>
  </si>
  <si>
    <t>I reported a number of fire doors that aren't closing properly in Macadam.  They won't function as fire doors in their current state, which is an obvious fire risk.</t>
  </si>
  <si>
    <t>The Ticket Completed email does not say what what actually done.  Given the swiftness of the closure, I don't think anything was done.</t>
  </si>
  <si>
    <t>Put up a small key lock in a newly furbished library area.</t>
  </si>
  <si>
    <t>Lock was was put up with no fuss and left the area tidy especially important as this was a new refurbished library space.</t>
  </si>
  <si>
    <t>Good work, turnaround around a bit longer than expected</t>
  </si>
  <si>
    <t>Great job, fast turnaround</t>
  </si>
  <si>
    <t>My toilet kept flushing because the flush button would not pop back out.</t>
  </si>
  <si>
    <t>The issue was resolved very quickly. However, would appreciate if the worker had taken off his shoes before stepping into my room and toilet with them.</t>
  </si>
  <si>
    <t>Leak from sink</t>
  </si>
  <si>
    <t>Great turnaround, good work</t>
  </si>
  <si>
    <t>Fantastic job, no complaints at all</t>
  </si>
  <si>
    <t xml:space="preserve">Good work, completed in reasonable time </t>
  </si>
  <si>
    <t>Shower handle repair</t>
  </si>
  <si>
    <t>5 star service, great work</t>
  </si>
  <si>
    <t xml:space="preserve">I had requested a stool for one of our lecturers to sit on as they present their lecture as they have Parkinson’s disease and find it difficult to stand for an hour. </t>
  </si>
  <si>
    <t>Stanley placed the stool inside the venue at the requested time, thanks very much.</t>
  </si>
  <si>
    <t>The door could not be secured. It needed to be secure as soon as possible</t>
  </si>
  <si>
    <t>The maintenance team is always ready to provide high standard services</t>
  </si>
  <si>
    <t>A/C unit not working</t>
  </si>
  <si>
    <t>The issue was fixed within a few hours of the request!</t>
  </si>
  <si>
    <t xml:space="preserve">requested two fluorescent light tubes to be changed ibn the upper dissecting room </t>
  </si>
  <si>
    <t xml:space="preserve">rang helpdesk on 25th 10 2023 to check as to why job not completed to be told that it would take 5 working days to be completed.  It still has not been completed. </t>
  </si>
  <si>
    <t>not applicable</t>
  </si>
  <si>
    <t>Removal of equipment for WEEE</t>
  </si>
  <si>
    <t>Pleased with the short length of time that this request was carried out.</t>
  </si>
  <si>
    <t>I had requested four tables (to be placed outside the Bush House Auditorium at 12 noon) and a Bus stop sign (Bush House reception said that we need to request this in order to open the -1-level entrance door). This was for a student away day event at Bush House.</t>
  </si>
  <si>
    <t>Chairs came with the tables which was much appreciated however we did not receive the Bus stop sign (this did not impact the event)..</t>
  </si>
  <si>
    <t>It took 18 months to get some keys cut because it had been forwarded to E&amp;F Hard Services rather than Soft Services. It took dozens of emails and complaints for anyone to do anything about this.</t>
  </si>
  <si>
    <t>This was because the ticket was pushed to the wrong destination, but the fact that it took so much complaining and reminding for anyone to notice is quite frankly insane</t>
  </si>
  <si>
    <t>Installation of an access control panel for a door between a student area and a staff area</t>
  </si>
  <si>
    <t xml:space="preserve">Really great support from all colleagues involved in getting this sorted. </t>
  </si>
  <si>
    <t>Change of light</t>
  </si>
  <si>
    <t>Such a quick turnaround time. Thank you!</t>
  </si>
  <si>
    <t>Security system team to rectify an access issue with all door of CUI and NHH</t>
  </si>
  <si>
    <t>would be good and to a degree a necessity to receive engineer comments on the Job completion notice as to what cause of the problem was and what had to be done to rectify it.</t>
  </si>
  <si>
    <t>None</t>
  </si>
  <si>
    <t>The team were quick and efficient! Many thanks</t>
  </si>
  <si>
    <t>Low water pressure (Residences)</t>
  </si>
  <si>
    <t xml:space="preserve">The service is really good and quickly fixed. </t>
  </si>
  <si>
    <t xml:space="preserve">I asked for a water fountain to be cleaned urgently as it had vomit on it. </t>
  </si>
  <si>
    <t>It has taken just over 11 months to receive confirmation that a simple cleaning request relating to a issue of bodily substances on a water fountain has been actioned. Clearly, issue was actioned month ago but it is disturbing that the processes in place as so weak that it takes this long to action this.  It was something which needed to immediately on the day.</t>
  </si>
  <si>
    <t xml:space="preserve">I asked if someone can collect one confidential shredding bag from our room on Friday 24th November as I was on-campus. </t>
  </si>
  <si>
    <t>Nicholas from the IoPPN post team collected the bag in the afternoon which was much appreciated. Thank you!</t>
  </si>
  <si>
    <t>the radiator in my room is still not working so it is incomplete work.</t>
  </si>
  <si>
    <t>i am aware that the heating on the third floor WEC is not working but there has been almost no attempt to fix it or to provide us with portable heaters</t>
  </si>
  <si>
    <t xml:space="preserve">there was no service, no explanation by email, no change in heating. </t>
  </si>
  <si>
    <t>Great service! very please with the work! Thank you</t>
  </si>
  <si>
    <t>Our offices had no heating for 2 weeks, and still got nothing. I received that my request is fixed even though the heating is still not sorted. Luckily a colleague from our faculty is chasing this, but the lack of comms from Estates is a bit disappointing.</t>
  </si>
  <si>
    <t>I can understand some issues take longer to fix, but no point just ticking off a request as complete without any further communication.</t>
  </si>
  <si>
    <t>You described this job as "Carry out extra clean to room". But why was it an *extra* clean to empty a waste basket that hadn't been emptied for over a month?</t>
  </si>
  <si>
    <t>Clearing bulk recycling</t>
  </si>
  <si>
    <t>I asked at a short notice to set up a lecture theatre for students' debates providing 10 chiars in the room by 10 am on the 8th December</t>
  </si>
  <si>
    <t>Bulk waste collection</t>
  </si>
  <si>
    <t xml:space="preserve"> how committed our team were to delivering outstanding customer service?</t>
  </si>
  <si>
    <t>#</t>
  </si>
  <si>
    <t>Using the provided Excel spreadsheet containing mock customer feedback, please create a PowerPoint presentation consisting of three slides.</t>
  </si>
  <si>
    <t>Please consider the information through the data presented with a focus to highlight</t>
  </si>
  <si>
    <t>how the data can be improved and</t>
  </si>
  <si>
    <t>how the data can be used to improve customer service in Estates and Facilities</t>
  </si>
  <si>
    <t>Also include a clear introduction with outline, presentation of data and summary of your points.</t>
  </si>
  <si>
    <t>%</t>
  </si>
  <si>
    <t>Row Labels</t>
  </si>
  <si>
    <t>Grand Total</t>
  </si>
  <si>
    <t>Column Labels</t>
  </si>
  <si>
    <t>Count of ID</t>
  </si>
  <si>
    <t>Service</t>
  </si>
  <si>
    <t>Hard services</t>
  </si>
  <si>
    <t>Soft Services</t>
  </si>
  <si>
    <t xml:space="preserve"> 9 -10</t>
  </si>
  <si>
    <t xml:space="preserve"> 0 -6</t>
  </si>
  <si>
    <t>NPS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</si>
</sst>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8" x14ac:knownFonts="1">
    <font>
      <sz val="11"/>
      <color theme="1"/>
      <name val="Calibri"/>
      <family val="2"/>
      <scheme val="minor"/>
    </font>
    <font>
      <sz val="11"/>
      <color rgb="FF000000"/>
      <name val="Calibri"/>
      <family val="2"/>
    </font>
    <font>
      <b/>
      <sz val="11"/>
      <color theme="0"/>
      <name val="Calibri"/>
      <family val="2"/>
      <scheme val="minor"/>
    </font>
    <font>
      <sz val="11"/>
      <color rgb="FF000000"/>
      <name val="Calibri"/>
      <family val="2"/>
      <scheme val="minor"/>
    </font>
    <font>
      <b/>
      <sz val="9"/>
      <color indexed="81"/>
      <name val="Tahoma"/>
      <charset val="1"/>
    </font>
    <font>
      <sz val="9"/>
      <color indexed="81"/>
      <name val="Tahoma"/>
      <charset val="1"/>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bgColor theme="4"/>
      </patternFill>
    </fill>
    <fill>
      <patternFill patternType="solid">
        <fgColor theme="8" tint="0.59999389629810485"/>
        <bgColor theme="4"/>
      </patternFill>
    </fill>
  </fills>
  <borders count="21">
    <border>
      <left/>
      <right/>
      <top/>
      <bottom/>
      <diagonal/>
    </border>
    <border>
      <left/>
      <right/>
      <top style="thin">
        <color rgb="FF9BC2E6"/>
      </top>
      <bottom style="thin">
        <color rgb="FF9BC2E6"/>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style="dotted">
        <color auto="1"/>
      </bottom>
      <diagonal/>
    </border>
    <border>
      <left/>
      <right/>
      <top style="dotted">
        <color auto="1"/>
      </top>
      <bottom style="dotted">
        <color auto="1"/>
      </bottom>
      <diagonal/>
    </border>
    <border>
      <left style="medium">
        <color theme="4" tint="-0.24994659260841701"/>
      </left>
      <right style="thin">
        <color theme="4" tint="0.39997558519241921"/>
      </right>
      <top style="thin">
        <color theme="4" tint="0.39997558519241921"/>
      </top>
      <bottom style="thin">
        <color theme="4" tint="0.39997558519241921"/>
      </bottom>
      <diagonal/>
    </border>
    <border>
      <left/>
      <right style="medium">
        <color theme="4" tint="-0.24994659260841701"/>
      </right>
      <top style="thin">
        <color theme="4" tint="0.39997558519241921"/>
      </top>
      <bottom style="thin">
        <color theme="4" tint="0.39997558519241921"/>
      </bottom>
      <diagonal/>
    </border>
    <border>
      <left style="medium">
        <color theme="4" tint="-0.24994659260841701"/>
      </left>
      <right/>
      <top style="thin">
        <color theme="4" tint="0.39997558519241921"/>
      </top>
      <bottom style="dotted">
        <color auto="1"/>
      </bottom>
      <diagonal/>
    </border>
    <border>
      <left/>
      <right style="medium">
        <color theme="4" tint="-0.24994659260841701"/>
      </right>
      <top style="thin">
        <color theme="4" tint="0.39997558519241921"/>
      </top>
      <bottom style="dotted">
        <color auto="1"/>
      </bottom>
      <diagonal/>
    </border>
    <border>
      <left style="medium">
        <color theme="4" tint="-0.24994659260841701"/>
      </left>
      <right/>
      <top style="dotted">
        <color auto="1"/>
      </top>
      <bottom style="dotted">
        <color auto="1"/>
      </bottom>
      <diagonal/>
    </border>
    <border>
      <left/>
      <right style="medium">
        <color theme="4" tint="-0.24994659260841701"/>
      </right>
      <top style="dotted">
        <color auto="1"/>
      </top>
      <bottom style="dotted">
        <color auto="1"/>
      </bottom>
      <diagonal/>
    </border>
    <border>
      <left style="medium">
        <color theme="4" tint="-0.24994659260841701"/>
      </left>
      <right/>
      <top style="thin">
        <color theme="4" tint="0.39997558519241921"/>
      </top>
      <bottom style="thin">
        <color theme="4" tint="0.39997558519241921"/>
      </bottom>
      <diagonal/>
    </border>
  </borders>
  <cellStyleXfs count="3">
    <xf numFmtId="0" fontId="0" fillId="0" borderId="0"/>
    <xf numFmtId="9" fontId="6" fillId="0" borderId="0" applyFont="0" applyFill="0" applyBorder="0" applyAlignment="0" applyProtection="0"/>
    <xf numFmtId="43" fontId="6" fillId="0" borderId="0" applyFont="0" applyFill="0" applyBorder="0" applyAlignment="0" applyProtection="0"/>
  </cellStyleXfs>
  <cellXfs count="58">
    <xf numFmtId="0" fontId="0" fillId="0" borderId="0" xfId="0"/>
    <xf numFmtId="0" fontId="0" fillId="0" borderId="1" xfId="0" applyBorder="1"/>
    <xf numFmtId="0" fontId="1" fillId="0" borderId="0" xfId="0" applyFont="1"/>
    <xf numFmtId="14" fontId="1" fillId="0" borderId="0" xfId="0" applyNumberFormat="1" applyFont="1"/>
    <xf numFmtId="0" fontId="2" fillId="0" borderId="3" xfId="0" applyFont="1" applyBorder="1"/>
    <xf numFmtId="14" fontId="2" fillId="0" borderId="3" xfId="0" applyNumberFormat="1" applyFont="1" applyBorder="1" applyAlignment="1">
      <alignment horizontal="left"/>
    </xf>
    <xf numFmtId="0" fontId="2" fillId="0" borderId="3" xfId="0" applyFont="1" applyBorder="1" applyAlignment="1">
      <alignment horizontal="left"/>
    </xf>
    <xf numFmtId="0" fontId="0" fillId="0" borderId="3" xfId="0" applyBorder="1"/>
    <xf numFmtId="14" fontId="0" fillId="0" borderId="2" xfId="0" applyNumberFormat="1" applyBorder="1" applyAlignment="1">
      <alignment horizontal="right"/>
    </xf>
    <xf numFmtId="0" fontId="1" fillId="0" borderId="2" xfId="0" applyFont="1" applyBorder="1"/>
    <xf numFmtId="0" fontId="0" fillId="0" borderId="2" xfId="0" applyBorder="1"/>
    <xf numFmtId="14" fontId="1" fillId="0" borderId="2" xfId="0" applyNumberFormat="1" applyFont="1" applyBorder="1" applyAlignment="1">
      <alignment horizontal="right"/>
    </xf>
    <xf numFmtId="0" fontId="3" fillId="0" borderId="2" xfId="0" applyFont="1" applyBorder="1"/>
    <xf numFmtId="0" fontId="0" fillId="0" borderId="2" xfId="0" quotePrefix="1" applyBorder="1"/>
    <xf numFmtId="0" fontId="2" fillId="0" borderId="3" xfId="0" applyFont="1" applyBorder="1" applyAlignment="1">
      <alignment wrapText="1"/>
    </xf>
    <xf numFmtId="0" fontId="0" fillId="0" borderId="2" xfId="0" applyBorder="1" applyAlignment="1">
      <alignment wrapText="1"/>
    </xf>
    <xf numFmtId="0" fontId="1" fillId="0" borderId="2" xfId="0" applyFont="1" applyBorder="1" applyAlignment="1">
      <alignment wrapText="1"/>
    </xf>
    <xf numFmtId="0" fontId="0" fillId="0" borderId="0" xfId="0" applyAlignment="1">
      <alignment wrapText="1"/>
    </xf>
    <xf numFmtId="0" fontId="0" fillId="0" borderId="0" xfId="0" applyAlignment="1">
      <alignment horizontal="center"/>
    </xf>
    <xf numFmtId="9" fontId="0" fillId="0" borderId="0" xfId="1" applyFont="1"/>
    <xf numFmtId="9" fontId="0" fillId="0" borderId="0" xfId="1" applyFont="1" applyAlignment="1">
      <alignment horizontal="center"/>
    </xf>
    <xf numFmtId="0" fontId="0" fillId="0" borderId="4" xfId="0" applyBorder="1"/>
    <xf numFmtId="0" fontId="0" fillId="0" borderId="5" xfId="0" applyBorder="1"/>
    <xf numFmtId="0" fontId="0" fillId="0" borderId="6" xfId="0" applyBorder="1" applyAlignment="1">
      <alignment horizontal="center"/>
    </xf>
    <xf numFmtId="0" fontId="0" fillId="0" borderId="7" xfId="0" applyBorder="1"/>
    <xf numFmtId="0" fontId="0" fillId="0" borderId="8" xfId="0" applyBorder="1" applyAlignment="1">
      <alignment horizontal="center"/>
    </xf>
    <xf numFmtId="0" fontId="0" fillId="0" borderId="9" xfId="0" applyBorder="1"/>
    <xf numFmtId="0" fontId="0" fillId="0" borderId="10" xfId="0" applyBorder="1"/>
    <xf numFmtId="0" fontId="0" fillId="0" borderId="11" xfId="0" applyBorder="1" applyAlignment="1">
      <alignment horizontal="center"/>
    </xf>
    <xf numFmtId="0" fontId="2" fillId="3" borderId="2" xfId="0" applyFont="1" applyFill="1" applyBorder="1" applyAlignment="1">
      <alignment horizontal="center" vertical="center" wrapText="1"/>
    </xf>
    <xf numFmtId="0" fontId="2" fillId="2" borderId="2" xfId="0" applyFont="1" applyFill="1" applyBorder="1" applyAlignment="1">
      <alignment vertical="center" wrapText="1"/>
    </xf>
    <xf numFmtId="14" fontId="0" fillId="0" borderId="12" xfId="0" applyNumberFormat="1" applyBorder="1" applyAlignment="1">
      <alignment horizontal="left"/>
    </xf>
    <xf numFmtId="1" fontId="0" fillId="0" borderId="12" xfId="0" applyNumberFormat="1" applyBorder="1" applyAlignment="1">
      <alignment horizontal="center"/>
    </xf>
    <xf numFmtId="0" fontId="0" fillId="0" borderId="13" xfId="0" applyBorder="1"/>
    <xf numFmtId="1" fontId="0" fillId="0" borderId="13" xfId="0" applyNumberFormat="1" applyBorder="1" applyAlignment="1">
      <alignment horizontal="center"/>
    </xf>
    <xf numFmtId="14" fontId="0" fillId="0" borderId="12" xfId="0" applyNumberFormat="1" applyBorder="1" applyAlignment="1">
      <alignment horizontal="center"/>
    </xf>
    <xf numFmtId="0" fontId="0" fillId="0" borderId="13" xfId="0" applyBorder="1" applyAlignment="1">
      <alignment horizontal="center"/>
    </xf>
    <xf numFmtId="0" fontId="2" fillId="2" borderId="14" xfId="0" applyFont="1" applyFill="1" applyBorder="1" applyAlignment="1">
      <alignment vertical="center" wrapText="1"/>
    </xf>
    <xf numFmtId="0" fontId="2" fillId="3" borderId="15" xfId="0" applyFont="1" applyFill="1" applyBorder="1" applyAlignment="1">
      <alignment horizontal="center" vertical="center" wrapText="1"/>
    </xf>
    <xf numFmtId="0" fontId="0" fillId="0" borderId="16" xfId="0" applyBorder="1" applyAlignment="1">
      <alignment horizontal="center"/>
    </xf>
    <xf numFmtId="1" fontId="0" fillId="0" borderId="17" xfId="0" applyNumberFormat="1" applyBorder="1" applyAlignment="1">
      <alignment horizontal="center"/>
    </xf>
    <xf numFmtId="0" fontId="0" fillId="0" borderId="18" xfId="0" applyBorder="1" applyAlignment="1">
      <alignment horizontal="center"/>
    </xf>
    <xf numFmtId="1" fontId="0" fillId="0" borderId="19" xfId="0" applyNumberFormat="1" applyBorder="1" applyAlignment="1">
      <alignment horizontal="center"/>
    </xf>
    <xf numFmtId="0" fontId="2" fillId="2" borderId="20" xfId="0" applyFont="1" applyFill="1" applyBorder="1" applyAlignment="1">
      <alignment horizontal="center" vertical="center" wrapText="1"/>
    </xf>
    <xf numFmtId="14" fontId="0" fillId="0" borderId="16" xfId="0" applyNumberFormat="1" applyBorder="1" applyAlignment="1">
      <alignment horizontal="left"/>
    </xf>
    <xf numFmtId="9" fontId="0" fillId="0" borderId="17" xfId="1" applyFont="1" applyBorder="1" applyAlignment="1">
      <alignment horizontal="center"/>
    </xf>
    <xf numFmtId="0" fontId="0" fillId="0" borderId="18" xfId="0" applyBorder="1"/>
    <xf numFmtId="9" fontId="0" fillId="0" borderId="19" xfId="1" applyFont="1" applyBorder="1" applyAlignment="1">
      <alignment horizontal="center"/>
    </xf>
    <xf numFmtId="14" fontId="2" fillId="2" borderId="20" xfId="0" applyNumberFormat="1" applyFont="1" applyFill="1" applyBorder="1" applyAlignment="1">
      <alignment horizontal="left" vertical="center" wrapText="1"/>
    </xf>
    <xf numFmtId="0" fontId="0" fillId="0" borderId="0" xfId="0" pivotButton="1"/>
    <xf numFmtId="0" fontId="0" fillId="0" borderId="0" xfId="0" applyAlignment="1">
      <alignment horizontal="left"/>
    </xf>
    <xf numFmtId="0" fontId="7" fillId="0" borderId="0" xfId="0" applyFont="1"/>
    <xf numFmtId="0" fontId="7" fillId="0" borderId="0" xfId="0" applyFont="1" applyAlignment="1">
      <alignment horizontal="center"/>
    </xf>
    <xf numFmtId="9" fontId="0" fillId="0" borderId="0" xfId="0" applyNumberFormat="1"/>
    <xf numFmtId="9" fontId="7" fillId="0" borderId="0" xfId="0" applyNumberFormat="1" applyFont="1"/>
    <xf numFmtId="0" fontId="0" fillId="0" borderId="0" xfId="0" applyNumberFormat="1"/>
    <xf numFmtId="0" fontId="7" fillId="0" borderId="10" xfId="0" applyFont="1" applyBorder="1" applyAlignment="1">
      <alignment horizontal="center"/>
    </xf>
    <xf numFmtId="1" fontId="0" fillId="0" borderId="0" xfId="2" applyNumberFormat="1" applyFont="1"/>
  </cellXfs>
  <cellStyles count="3">
    <cellStyle name="Comma" xfId="2" builtinId="3"/>
    <cellStyle name="Normal" xfId="0" builtinId="0"/>
    <cellStyle name="Percent" xfId="1" builtinId="5"/>
  </cellStyles>
  <dxfs count="17">
    <dxf>
      <font>
        <b val="0"/>
        <i val="0"/>
        <strike val="0"/>
        <condense val="0"/>
        <extend val="0"/>
        <outline val="0"/>
        <shadow val="0"/>
        <u val="none"/>
        <vertAlign val="baseline"/>
        <sz val="11"/>
        <color rgb="FF000000"/>
        <name val="Calibri"/>
        <family val="2"/>
        <scheme val="minor"/>
      </font>
      <fill>
        <patternFill patternType="none">
          <fgColor indexed="64"/>
          <bgColor auto="1"/>
        </patternFill>
      </fill>
      <border diagonalUp="0" diagonalDown="0" outline="0">
        <left/>
        <right/>
        <top style="thin">
          <color theme="4" tint="0.39997558519241921"/>
        </top>
        <bottom style="thin">
          <color theme="4" tint="0.39997558519241921"/>
        </bottom>
      </border>
    </dxf>
    <dxf>
      <fill>
        <patternFill patternType="none">
          <fgColor indexed="64"/>
          <bgColor auto="1"/>
        </patternFill>
      </fill>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dxf>
    <dxf>
      <fill>
        <patternFill patternType="none">
          <fgColor indexed="64"/>
          <bgColor auto="1"/>
        </patternFill>
      </fill>
      <border diagonalUp="0" diagonalDown="0" outline="0">
        <left/>
        <right/>
        <top style="thin">
          <color theme="4" tint="0.39997558519241921"/>
        </top>
        <bottom style="thin">
          <color theme="4" tint="0.39997558519241921"/>
        </bottom>
      </border>
    </dxf>
    <dxf>
      <fill>
        <patternFill patternType="none">
          <fgColor indexed="64"/>
          <bgColor auto="1"/>
        </patternFill>
      </fill>
      <border diagonalUp="0" diagonalDown="0" outline="0">
        <left/>
        <right/>
        <top style="thin">
          <color theme="4" tint="0.39997558519241921"/>
        </top>
        <bottom style="thin">
          <color theme="4" tint="0.39997558519241921"/>
        </bottom>
      </border>
    </dxf>
    <dxf>
      <numFmt numFmtId="19" formatCode="dd/mm/yyyy"/>
      <fill>
        <patternFill patternType="none">
          <fgColor indexed="64"/>
          <bgColor auto="1"/>
        </patternFill>
      </fill>
      <alignment horizontal="right" vertical="bottom" textRotation="0" wrapText="0" indent="0" justifyLastLine="0" shrinkToFit="0" readingOrder="0"/>
      <border diagonalUp="0" diagonalDown="0" outline="0">
        <left/>
        <right/>
        <top style="thin">
          <color theme="4" tint="0.39997558519241921"/>
        </top>
        <bottom style="thin">
          <color theme="4" tint="0.39997558519241921"/>
        </bottom>
      </border>
    </dxf>
    <dxf>
      <fill>
        <patternFill patternType="none">
          <fgColor indexed="64"/>
          <bgColor auto="1"/>
        </patternFill>
      </fill>
      <border diagonalUp="0" diagonalDown="0" outline="0">
        <left/>
        <right/>
        <top style="thin">
          <color theme="4" tint="0.39997558519241921"/>
        </top>
        <bottom style="thin">
          <color theme="4" tint="0.39997558519241921"/>
        </bottom>
      </border>
    </dxf>
    <dxf>
      <fill>
        <patternFill patternType="none">
          <fgColor indexed="64"/>
          <bgColor auto="1"/>
        </patternFill>
      </fill>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dxf>
    <dxf>
      <fill>
        <patternFill patternType="none">
          <fgColor indexed="64"/>
          <bgColor auto="1"/>
        </patternFill>
      </fill>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dxf>
    <dxf>
      <fill>
        <patternFill patternType="none">
          <fgColor indexed="64"/>
          <bgColor auto="1"/>
        </patternFill>
      </fill>
      <border diagonalUp="0" diagonalDown="0" outline="0">
        <left/>
        <right/>
        <top style="thin">
          <color theme="4" tint="0.39997558519241921"/>
        </top>
        <bottom style="thin">
          <color theme="4" tint="0.39997558519241921"/>
        </bottom>
      </border>
    </dxf>
    <dxf>
      <numFmt numFmtId="19" formatCode="dd/mm/yyyy"/>
      <fill>
        <patternFill patternType="none">
          <fgColor indexed="64"/>
          <bgColor auto="1"/>
        </patternFill>
      </fill>
      <alignment horizontal="right" vertical="bottom" textRotation="0" wrapText="0" indent="0" justifyLastLine="0" shrinkToFit="0" readingOrder="0"/>
      <border diagonalUp="0" diagonalDown="0" outline="0">
        <left/>
        <right/>
        <top style="thin">
          <color theme="4" tint="0.39997558519241921"/>
        </top>
        <bottom style="thin">
          <color theme="4" tint="0.39997558519241921"/>
        </bottom>
      </border>
    </dxf>
    <dxf>
      <numFmt numFmtId="19" formatCode="dd/mm/yyyy"/>
      <fill>
        <patternFill patternType="none">
          <fgColor indexed="64"/>
          <bgColor auto="1"/>
        </patternFill>
      </fill>
      <alignment horizontal="right" vertical="bottom" textRotation="0" wrapText="0" indent="0" justifyLastLine="0" shrinkToFit="0" readingOrder="0"/>
      <border diagonalUp="0" diagonalDown="0" outline="0">
        <left/>
        <right/>
        <top style="thin">
          <color theme="4" tint="0.39997558519241921"/>
        </top>
        <bottom style="thin">
          <color theme="4" tint="0.39997558519241921"/>
        </bottom>
      </border>
    </dxf>
    <dxf>
      <fill>
        <patternFill patternType="none">
          <fgColor indexed="64"/>
          <bgColor auto="1"/>
        </patternFill>
      </fill>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top style="thin">
          <color theme="4" tint="0.39997558519241921"/>
        </top>
        <bottom style="thin">
          <color theme="4" tint="0.39997558519241921"/>
        </bottom>
      </border>
    </dxf>
    <dxf>
      <fill>
        <patternFill patternType="none">
          <fgColor indexed="64"/>
          <bgColor auto="1"/>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pivotCacheDefinition" Target="pivotCache/pivotCacheDefinition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ysClr val="windowText" lastClr="000000"/>
                </a:solidFill>
              </a:rPr>
              <a:t>Where was the</a:t>
            </a:r>
            <a:r>
              <a:rPr lang="en-GB" b="1" baseline="0">
                <a:solidFill>
                  <a:sysClr val="windowText" lastClr="000000"/>
                </a:solidFill>
              </a:rPr>
              <a:t> Work Located</a:t>
            </a:r>
            <a:endParaRPr lang="en-GB"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6"/>
              </a:solidFill>
              <a:ln w="19050">
                <a:solidFill>
                  <a:schemeClr val="lt1"/>
                </a:solidFill>
              </a:ln>
              <a:effectLst/>
            </c:spPr>
            <c:extLst>
              <c:ext xmlns:c16="http://schemas.microsoft.com/office/drawing/2014/chart" uri="{C3380CC4-5D6E-409C-BE32-E72D297353CC}">
                <c16:uniqueId val="{00000001-745C-4D98-8E48-3CA3E140D6AD}"/>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745C-4D98-8E48-3CA3E140D6AD}"/>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745C-4D98-8E48-3CA3E140D6AD}"/>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745C-4D98-8E48-3CA3E140D6AD}"/>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745C-4D98-8E48-3CA3E140D6AD}"/>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B-745C-4D98-8E48-3CA3E140D6AD}"/>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0D-745C-4D98-8E48-3CA3E140D6AD}"/>
              </c:ext>
            </c:extLst>
          </c:dPt>
          <c:dPt>
            <c:idx val="7"/>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0F-745C-4D98-8E48-3CA3E140D6AD}"/>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Tables!$E$11:$E$18</c:f>
              <c:strCache>
                <c:ptCount val="8"/>
                <c:pt idx="0">
                  <c:v>A King's Residence</c:v>
                </c:pt>
                <c:pt idx="1">
                  <c:v>Denmark Hill Campus</c:v>
                </c:pt>
                <c:pt idx="2">
                  <c:v>Guy's Campus - all buildings except New Hunts House</c:v>
                </c:pt>
                <c:pt idx="3">
                  <c:v>Guy's Campus - New Hunts House</c:v>
                </c:pt>
                <c:pt idx="4">
                  <c:v>St Thomas's Campus</c:v>
                </c:pt>
                <c:pt idx="5">
                  <c:v>Strand Campus - all buildings, including Virginia Woolf &amp; Maughan Library</c:v>
                </c:pt>
                <c:pt idx="6">
                  <c:v>Waterloo Campus - Franklin Wilkins Building</c:v>
                </c:pt>
                <c:pt idx="7">
                  <c:v>Waterloo Campus - James Clerk Maxwell &amp; Waterloo Bridge Wing</c:v>
                </c:pt>
              </c:strCache>
            </c:strRef>
          </c:cat>
          <c:val>
            <c:numRef>
              <c:f>Tables!$F$11:$F$18</c:f>
              <c:numCache>
                <c:formatCode>0</c:formatCode>
                <c:ptCount val="8"/>
                <c:pt idx="0">
                  <c:v>6</c:v>
                </c:pt>
                <c:pt idx="1">
                  <c:v>29</c:v>
                </c:pt>
                <c:pt idx="2">
                  <c:v>33</c:v>
                </c:pt>
                <c:pt idx="3">
                  <c:v>3</c:v>
                </c:pt>
                <c:pt idx="4">
                  <c:v>1</c:v>
                </c:pt>
                <c:pt idx="5">
                  <c:v>35</c:v>
                </c:pt>
                <c:pt idx="6">
                  <c:v>2</c:v>
                </c:pt>
                <c:pt idx="7">
                  <c:v>8</c:v>
                </c:pt>
              </c:numCache>
            </c:numRef>
          </c:val>
          <c:extLst>
            <c:ext xmlns:c16="http://schemas.microsoft.com/office/drawing/2014/chart" uri="{C3380CC4-5D6E-409C-BE32-E72D297353CC}">
              <c16:uniqueId val="{00000000-E246-44EE-A50E-D81FF5A1ED90}"/>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Type of Work</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Tables!$G$11:$G$16</c:f>
              <c:strCache>
                <c:ptCount val="6"/>
                <c:pt idx="0">
                  <c:v>Cleaning</c:v>
                </c:pt>
                <c:pt idx="1">
                  <c:v>Hard services (e.g. lighting, plumbing, decorating, heating/cooling, fabrics etc.)</c:v>
                </c:pt>
                <c:pt idx="2">
                  <c:v>Residences - Applications</c:v>
                </c:pt>
                <c:pt idx="3">
                  <c:v>Residences - In House Service</c:v>
                </c:pt>
                <c:pt idx="4">
                  <c:v>Security</c:v>
                </c:pt>
                <c:pt idx="5">
                  <c:v>Soft Services (e.g. moving furniture, room set up, WEEE collection, pest control, internal deliveries between campuses etc.)</c:v>
                </c:pt>
              </c:strCache>
            </c:strRef>
          </c:cat>
          <c:val>
            <c:numRef>
              <c:f>Tables!$H$11:$H$16</c:f>
              <c:numCache>
                <c:formatCode>0</c:formatCode>
                <c:ptCount val="6"/>
                <c:pt idx="0">
                  <c:v>14</c:v>
                </c:pt>
                <c:pt idx="1">
                  <c:v>69</c:v>
                </c:pt>
                <c:pt idx="2">
                  <c:v>2</c:v>
                </c:pt>
                <c:pt idx="3">
                  <c:v>3</c:v>
                </c:pt>
                <c:pt idx="4">
                  <c:v>1</c:v>
                </c:pt>
                <c:pt idx="5">
                  <c:v>28</c:v>
                </c:pt>
              </c:numCache>
            </c:numRef>
          </c:val>
          <c:extLst>
            <c:ext xmlns:c16="http://schemas.microsoft.com/office/drawing/2014/chart" uri="{C3380CC4-5D6E-409C-BE32-E72D297353CC}">
              <c16:uniqueId val="{00000000-FBB1-4EA5-83F5-ADD16998270A}"/>
            </c:ext>
          </c:extLst>
        </c:ser>
        <c:dLbls>
          <c:dLblPos val="outEnd"/>
          <c:showLegendKey val="0"/>
          <c:showVal val="1"/>
          <c:showCatName val="0"/>
          <c:showSerName val="0"/>
          <c:showPercent val="0"/>
          <c:showBubbleSize val="0"/>
        </c:dLbls>
        <c:gapWidth val="219"/>
        <c:overlap val="-27"/>
        <c:axId val="1461272415"/>
        <c:axId val="1461274815"/>
      </c:barChart>
      <c:catAx>
        <c:axId val="1461272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274815"/>
        <c:crosses val="autoZero"/>
        <c:auto val="1"/>
        <c:lblAlgn val="ctr"/>
        <c:lblOffset val="100"/>
        <c:noMultiLvlLbl val="0"/>
      </c:catAx>
      <c:valAx>
        <c:axId val="1461274815"/>
        <c:scaling>
          <c:orientation val="minMax"/>
        </c:scaling>
        <c:delete val="1"/>
        <c:axPos val="l"/>
        <c:numFmt formatCode="0" sourceLinked="1"/>
        <c:majorTickMark val="none"/>
        <c:minorTickMark val="none"/>
        <c:tickLblPos val="nextTo"/>
        <c:crossAx val="1461272415"/>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ysClr val="windowText" lastClr="000000"/>
                </a:solidFill>
              </a:rPr>
              <a:t>Satisfaction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Pivots!$B$16</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Pivots!$A$17:$A$22</c:f>
              <c:strCache>
                <c:ptCount val="6"/>
                <c:pt idx="0">
                  <c:v>Cleaning</c:v>
                </c:pt>
                <c:pt idx="1">
                  <c:v>Hard services</c:v>
                </c:pt>
                <c:pt idx="2">
                  <c:v>Residences - Applications</c:v>
                </c:pt>
                <c:pt idx="3">
                  <c:v>Residences - In House Service</c:v>
                </c:pt>
                <c:pt idx="4">
                  <c:v>Security</c:v>
                </c:pt>
                <c:pt idx="5">
                  <c:v>Soft Services</c:v>
                </c:pt>
              </c:strCache>
            </c:strRef>
          </c:cat>
          <c:val>
            <c:numRef>
              <c:f>Pivots!$B$17:$B$22</c:f>
              <c:numCache>
                <c:formatCode>General</c:formatCode>
                <c:ptCount val="6"/>
                <c:pt idx="0">
                  <c:v>1</c:v>
                </c:pt>
                <c:pt idx="1">
                  <c:v>19</c:v>
                </c:pt>
                <c:pt idx="5">
                  <c:v>1</c:v>
                </c:pt>
              </c:numCache>
            </c:numRef>
          </c:val>
          <c:extLst>
            <c:ext xmlns:c16="http://schemas.microsoft.com/office/drawing/2014/chart" uri="{C3380CC4-5D6E-409C-BE32-E72D297353CC}">
              <c16:uniqueId val="{00000000-35E0-4F9A-BFB1-3101D7DA4CFE}"/>
            </c:ext>
          </c:extLst>
        </c:ser>
        <c:ser>
          <c:idx val="1"/>
          <c:order val="1"/>
          <c:tx>
            <c:strRef>
              <c:f>Pivots!$C$16</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Pivots!$A$17:$A$22</c:f>
              <c:strCache>
                <c:ptCount val="6"/>
                <c:pt idx="0">
                  <c:v>Cleaning</c:v>
                </c:pt>
                <c:pt idx="1">
                  <c:v>Hard services</c:v>
                </c:pt>
                <c:pt idx="2">
                  <c:v>Residences - Applications</c:v>
                </c:pt>
                <c:pt idx="3">
                  <c:v>Residences - In House Service</c:v>
                </c:pt>
                <c:pt idx="4">
                  <c:v>Security</c:v>
                </c:pt>
                <c:pt idx="5">
                  <c:v>Soft Services</c:v>
                </c:pt>
              </c:strCache>
            </c:strRef>
          </c:cat>
          <c:val>
            <c:numRef>
              <c:f>Pivots!$C$17:$C$22</c:f>
              <c:numCache>
                <c:formatCode>General</c:formatCode>
                <c:ptCount val="6"/>
                <c:pt idx="0">
                  <c:v>13</c:v>
                </c:pt>
                <c:pt idx="1">
                  <c:v>50</c:v>
                </c:pt>
                <c:pt idx="2">
                  <c:v>2</c:v>
                </c:pt>
                <c:pt idx="3">
                  <c:v>3</c:v>
                </c:pt>
                <c:pt idx="4">
                  <c:v>1</c:v>
                </c:pt>
                <c:pt idx="5">
                  <c:v>27</c:v>
                </c:pt>
              </c:numCache>
            </c:numRef>
          </c:val>
          <c:extLst>
            <c:ext xmlns:c16="http://schemas.microsoft.com/office/drawing/2014/chart" uri="{C3380CC4-5D6E-409C-BE32-E72D297353CC}">
              <c16:uniqueId val="{00000001-35E0-4F9A-BFB1-3101D7DA4CFE}"/>
            </c:ext>
          </c:extLst>
        </c:ser>
        <c:dLbls>
          <c:dLblPos val="outEnd"/>
          <c:showLegendKey val="0"/>
          <c:showVal val="1"/>
          <c:showCatName val="0"/>
          <c:showSerName val="0"/>
          <c:showPercent val="0"/>
          <c:showBubbleSize val="0"/>
        </c:dLbls>
        <c:gapWidth val="182"/>
        <c:axId val="1326135312"/>
        <c:axId val="1326124272"/>
      </c:barChart>
      <c:catAx>
        <c:axId val="1326135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124272"/>
        <c:crosses val="autoZero"/>
        <c:auto val="1"/>
        <c:lblAlgn val="ctr"/>
        <c:lblOffset val="100"/>
        <c:noMultiLvlLbl val="0"/>
      </c:catAx>
      <c:valAx>
        <c:axId val="1326124272"/>
        <c:scaling>
          <c:orientation val="minMax"/>
        </c:scaling>
        <c:delete val="1"/>
        <c:axPos val="b"/>
        <c:numFmt formatCode="General" sourceLinked="1"/>
        <c:majorTickMark val="none"/>
        <c:minorTickMark val="none"/>
        <c:tickLblPos val="nextTo"/>
        <c:crossAx val="1326135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ysClr val="windowText" lastClr="000000"/>
                </a:solidFill>
              </a:rPr>
              <a:t>NPS by</a:t>
            </a:r>
            <a:r>
              <a:rPr lang="en-GB" b="1" baseline="0">
                <a:solidFill>
                  <a:sysClr val="windowText" lastClr="000000"/>
                </a:solidFill>
              </a:rPr>
              <a:t> Service</a:t>
            </a:r>
            <a:endParaRPr lang="en-GB"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Pivots!$O$36</c:f>
              <c:strCache>
                <c:ptCount val="1"/>
                <c:pt idx="0">
                  <c:v> 0 -6</c:v>
                </c:pt>
              </c:strCache>
            </c:strRef>
          </c:tx>
          <c:spPr>
            <a:solidFill>
              <a:srgbClr val="C00000"/>
            </a:solidFill>
            <a:ln>
              <a:noFill/>
            </a:ln>
            <a:effectLst/>
          </c:spPr>
          <c:invertIfNegative val="0"/>
          <c:dLbls>
            <c:dLbl>
              <c:idx val="0"/>
              <c:layout>
                <c:manualLayout>
                  <c:x val="-3.1513715652800034E-2"/>
                  <c:y val="-2.171552660152024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A32-43A0-9186-59CAA4448488}"/>
                </c:ext>
              </c:extLst>
            </c:dLbl>
            <c:dLbl>
              <c:idx val="2"/>
              <c:delete val="1"/>
              <c:extLst>
                <c:ext xmlns:c15="http://schemas.microsoft.com/office/drawing/2012/chart" uri="{CE6537A1-D6FC-4f65-9D91-7224C49458BB}"/>
                <c:ext xmlns:c16="http://schemas.microsoft.com/office/drawing/2014/chart" uri="{C3380CC4-5D6E-409C-BE32-E72D297353CC}">
                  <c16:uniqueId val="{0000000D-0A32-43A0-9186-59CAA4448488}"/>
                </c:ext>
              </c:extLst>
            </c:dLbl>
            <c:dLbl>
              <c:idx val="3"/>
              <c:delete val="1"/>
              <c:extLst>
                <c:ext xmlns:c15="http://schemas.microsoft.com/office/drawing/2012/chart" uri="{CE6537A1-D6FC-4f65-9D91-7224C49458BB}"/>
                <c:ext xmlns:c16="http://schemas.microsoft.com/office/drawing/2014/chart" uri="{C3380CC4-5D6E-409C-BE32-E72D297353CC}">
                  <c16:uniqueId val="{0000000C-0A32-43A0-9186-59CAA4448488}"/>
                </c:ext>
              </c:extLst>
            </c:dLbl>
            <c:dLbl>
              <c:idx val="5"/>
              <c:delete val="1"/>
              <c:extLst>
                <c:ext xmlns:c15="http://schemas.microsoft.com/office/drawing/2012/chart" uri="{CE6537A1-D6FC-4f65-9D91-7224C49458BB}"/>
                <c:ext xmlns:c16="http://schemas.microsoft.com/office/drawing/2014/chart" uri="{C3380CC4-5D6E-409C-BE32-E72D297353CC}">
                  <c16:uniqueId val="{0000000B-0A32-43A0-9186-59CAA444848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Pivots!$N$37:$N$42</c:f>
              <c:strCache>
                <c:ptCount val="6"/>
                <c:pt idx="0">
                  <c:v>Cleaning</c:v>
                </c:pt>
                <c:pt idx="1">
                  <c:v>Hard services</c:v>
                </c:pt>
                <c:pt idx="2">
                  <c:v>Residences - Applications</c:v>
                </c:pt>
                <c:pt idx="3">
                  <c:v>Residences - In House Service</c:v>
                </c:pt>
                <c:pt idx="4">
                  <c:v>Security</c:v>
                </c:pt>
                <c:pt idx="5">
                  <c:v>Soft Services</c:v>
                </c:pt>
              </c:strCache>
            </c:strRef>
          </c:cat>
          <c:val>
            <c:numRef>
              <c:f>Pivots!$O$37:$O$42</c:f>
              <c:numCache>
                <c:formatCode>0</c:formatCode>
                <c:ptCount val="6"/>
                <c:pt idx="0">
                  <c:v>-7.1428571428571423</c:v>
                </c:pt>
                <c:pt idx="1">
                  <c:v>-26.086956521739129</c:v>
                </c:pt>
                <c:pt idx="2">
                  <c:v>0</c:v>
                </c:pt>
                <c:pt idx="3">
                  <c:v>0</c:v>
                </c:pt>
                <c:pt idx="4">
                  <c:v>-100</c:v>
                </c:pt>
                <c:pt idx="5">
                  <c:v>0</c:v>
                </c:pt>
              </c:numCache>
            </c:numRef>
          </c:val>
          <c:extLst>
            <c:ext xmlns:c16="http://schemas.microsoft.com/office/drawing/2014/chart" uri="{C3380CC4-5D6E-409C-BE32-E72D297353CC}">
              <c16:uniqueId val="{00000000-0A32-43A0-9186-59CAA4448488}"/>
            </c:ext>
          </c:extLst>
        </c:ser>
        <c:ser>
          <c:idx val="1"/>
          <c:order val="1"/>
          <c:tx>
            <c:strRef>
              <c:f>Pivots!$P$36</c:f>
              <c:strCache>
                <c:ptCount val="1"/>
                <c:pt idx="0">
                  <c:v> 9 -10</c:v>
                </c:pt>
              </c:strCache>
            </c:strRef>
          </c:tx>
          <c:spPr>
            <a:solidFill>
              <a:schemeClr val="accent6">
                <a:lumMod val="75000"/>
              </a:schemeClr>
            </a:solidFill>
            <a:ln>
              <a:noFill/>
            </a:ln>
            <a:effectLst/>
          </c:spPr>
          <c:invertIfNegative val="0"/>
          <c:dLbls>
            <c:dLbl>
              <c:idx val="0"/>
              <c:layout>
                <c:manualLayout>
                  <c:x val="-0.16164324592169341"/>
                  <c:y val="-2.171552660152024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A32-43A0-9186-59CAA4448488}"/>
                </c:ext>
              </c:extLst>
            </c:dLbl>
            <c:dLbl>
              <c:idx val="5"/>
              <c:layout>
                <c:manualLayout>
                  <c:x val="-0.18085367647628126"/>
                  <c:y val="2.605863192182408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A32-43A0-9186-59CAA444848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Pivots!$N$37:$N$42</c:f>
              <c:strCache>
                <c:ptCount val="6"/>
                <c:pt idx="0">
                  <c:v>Cleaning</c:v>
                </c:pt>
                <c:pt idx="1">
                  <c:v>Hard services</c:v>
                </c:pt>
                <c:pt idx="2">
                  <c:v>Residences - Applications</c:v>
                </c:pt>
                <c:pt idx="3">
                  <c:v>Residences - In House Service</c:v>
                </c:pt>
                <c:pt idx="4">
                  <c:v>Security</c:v>
                </c:pt>
                <c:pt idx="5">
                  <c:v>Soft Services</c:v>
                </c:pt>
              </c:strCache>
            </c:strRef>
          </c:cat>
          <c:val>
            <c:numRef>
              <c:f>Pivots!$P$37:$P$42</c:f>
              <c:numCache>
                <c:formatCode>0</c:formatCode>
                <c:ptCount val="6"/>
                <c:pt idx="0">
                  <c:v>78.571428571428569</c:v>
                </c:pt>
                <c:pt idx="1">
                  <c:v>65.217391304347828</c:v>
                </c:pt>
                <c:pt idx="2">
                  <c:v>100</c:v>
                </c:pt>
                <c:pt idx="3">
                  <c:v>100</c:v>
                </c:pt>
                <c:pt idx="4">
                  <c:v>0</c:v>
                </c:pt>
                <c:pt idx="5">
                  <c:v>89.285714285714292</c:v>
                </c:pt>
              </c:numCache>
            </c:numRef>
          </c:val>
          <c:extLst>
            <c:ext xmlns:c16="http://schemas.microsoft.com/office/drawing/2014/chart" uri="{C3380CC4-5D6E-409C-BE32-E72D297353CC}">
              <c16:uniqueId val="{00000001-0A32-43A0-9186-59CAA4448488}"/>
            </c:ext>
          </c:extLst>
        </c:ser>
        <c:dLbls>
          <c:dLblPos val="ctr"/>
          <c:showLegendKey val="0"/>
          <c:showVal val="1"/>
          <c:showCatName val="0"/>
          <c:showSerName val="0"/>
          <c:showPercent val="0"/>
          <c:showBubbleSize val="0"/>
        </c:dLbls>
        <c:gapWidth val="40"/>
        <c:overlap val="100"/>
        <c:axId val="1625144015"/>
        <c:axId val="1625142095"/>
      </c:barChart>
      <c:catAx>
        <c:axId val="1625144015"/>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142095"/>
        <c:crosses val="autoZero"/>
        <c:auto val="1"/>
        <c:lblAlgn val="ctr"/>
        <c:lblOffset val="100"/>
        <c:noMultiLvlLbl val="0"/>
      </c:catAx>
      <c:valAx>
        <c:axId val="1625142095"/>
        <c:scaling>
          <c:orientation val="minMax"/>
          <c:max val="100"/>
          <c:min val="-100"/>
        </c:scaling>
        <c:delete val="0"/>
        <c:axPos val="b"/>
        <c:numFmt formatCode="[Green]0&quot;%&quot;;[Red]0&quot;%&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25144015"/>
        <c:crosses val="autoZero"/>
        <c:crossBetween val="midCat"/>
        <c:majorUnit val="50"/>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47625</xdr:colOff>
      <xdr:row>19</xdr:row>
      <xdr:rowOff>114300</xdr:rowOff>
    </xdr:from>
    <xdr:to>
      <xdr:col>6</xdr:col>
      <xdr:colOff>1962150</xdr:colOff>
      <xdr:row>39</xdr:row>
      <xdr:rowOff>114300</xdr:rowOff>
    </xdr:to>
    <xdr:graphicFrame macro="">
      <xdr:nvGraphicFramePr>
        <xdr:cNvPr id="2" name="Chart 1">
          <a:extLst>
            <a:ext uri="{FF2B5EF4-FFF2-40B4-BE49-F238E27FC236}">
              <a16:creationId xmlns:a16="http://schemas.microsoft.com/office/drawing/2014/main" id="{235F5CB8-8760-96FE-B9F2-C0B9DB7B79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219075</xdr:colOff>
      <xdr:row>19</xdr:row>
      <xdr:rowOff>28574</xdr:rowOff>
    </xdr:from>
    <xdr:to>
      <xdr:col>12</xdr:col>
      <xdr:colOff>981075</xdr:colOff>
      <xdr:row>39</xdr:row>
      <xdr:rowOff>161925</xdr:rowOff>
    </xdr:to>
    <xdr:graphicFrame macro="">
      <xdr:nvGraphicFramePr>
        <xdr:cNvPr id="3" name="Chart 2">
          <a:extLst>
            <a:ext uri="{FF2B5EF4-FFF2-40B4-BE49-F238E27FC236}">
              <a16:creationId xmlns:a16="http://schemas.microsoft.com/office/drawing/2014/main" id="{D9ACB730-4220-520A-708E-DF6DD2A142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695324</xdr:colOff>
      <xdr:row>14</xdr:row>
      <xdr:rowOff>66675</xdr:rowOff>
    </xdr:from>
    <xdr:to>
      <xdr:col>12</xdr:col>
      <xdr:colOff>285749</xdr:colOff>
      <xdr:row>31</xdr:row>
      <xdr:rowOff>66675</xdr:rowOff>
    </xdr:to>
    <xdr:graphicFrame macro="">
      <xdr:nvGraphicFramePr>
        <xdr:cNvPr id="2" name="Chart 1">
          <a:extLst>
            <a:ext uri="{FF2B5EF4-FFF2-40B4-BE49-F238E27FC236}">
              <a16:creationId xmlns:a16="http://schemas.microsoft.com/office/drawing/2014/main" id="{4346381F-5756-F5E3-CA39-4BDC3F0AD4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609600</xdr:colOff>
      <xdr:row>44</xdr:row>
      <xdr:rowOff>9524</xdr:rowOff>
    </xdr:from>
    <xdr:to>
      <xdr:col>13</xdr:col>
      <xdr:colOff>114300</xdr:colOff>
      <xdr:row>59</xdr:row>
      <xdr:rowOff>76199</xdr:rowOff>
    </xdr:to>
    <xdr:graphicFrame macro="">
      <xdr:nvGraphicFramePr>
        <xdr:cNvPr id="3" name="Chart 2">
          <a:extLst>
            <a:ext uri="{FF2B5EF4-FFF2-40B4-BE49-F238E27FC236}">
              <a16:creationId xmlns:a16="http://schemas.microsoft.com/office/drawing/2014/main" id="{36D63430-28D0-50C4-C47E-8AA6B4F911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erwin Sacki" refreshedDate="45461.556532754628" createdVersion="8" refreshedVersion="8" minRefreshableVersion="3" recordCount="117" xr:uid="{18884B66-55DB-4296-9B3A-F6628AF99887}">
  <cacheSource type="worksheet">
    <worksheetSource name="Table2"/>
  </cacheSource>
  <cacheFields count="12">
    <cacheField name="ID" numFmtId="0">
      <sharedItems containsSemiMixedTypes="0" containsString="0" containsNumber="1" containsInteger="1" minValue="1" maxValue="119"/>
    </cacheField>
    <cacheField name="Start Time" numFmtId="14">
      <sharedItems containsSemiMixedTypes="0" containsNonDate="0" containsDate="1" containsString="0" minDate="2023-01-04T08:40:51" maxDate="2023-12-14T10:07:20"/>
    </cacheField>
    <cacheField name="Name" numFmtId="0">
      <sharedItems/>
    </cacheField>
    <cacheField name="If your feedback requires further action from us, such as an incomplete piece of work, please provide your email address below so that we can get back to you." numFmtId="0">
      <sharedItems containsBlank="1"/>
    </cacheField>
    <cacheField name="Where was the work located?" numFmtId="0">
      <sharedItems/>
    </cacheField>
    <cacheField name="What type of work are you providing feedback on?" numFmtId="0">
      <sharedItems count="6">
        <s v="Cleaning"/>
        <s v="Soft Services (e.g. moving furniture, room set up, WEEE collection, pest control, internal deliveries between campuses etc.)"/>
        <s v="Hard services (e.g. lighting, plumbing, decorating, heating/cooling, fabrics etc.)"/>
        <s v="Security"/>
        <s v="Residences - Applications"/>
        <s v="Residences - In House Service"/>
      </sharedItems>
    </cacheField>
    <cacheField name="Please provide us with more information on what you requested our help with. This is especially helpful if you do not have a reference number, or if you selected &quot;other&quot; for question 4." numFmtId="0">
      <sharedItems longText="1"/>
    </cacheField>
    <cacheField name="When did you make the request" numFmtId="14">
      <sharedItems containsSemiMixedTypes="0" containsNonDate="0" containsDate="1" containsString="0" minDate="2022-02-04T00:00:00" maxDate="2023-12-13T00:00:00"/>
    </cacheField>
    <cacheField name="Were you satisfied with the time it took to complete the work?" numFmtId="0">
      <sharedItems count="2">
        <s v="Yes"/>
        <s v="No"/>
      </sharedItems>
    </cacheField>
    <cacheField name="In your opinion, please rate out of 5 how committed our team were to delivering outstanding customer service?" numFmtId="0">
      <sharedItems containsSemiMixedTypes="0" containsString="0" containsNumber="1" containsInteger="1" minValue="1" maxValue="5" count="5">
        <n v="5"/>
        <n v="2"/>
        <n v="3"/>
        <n v="4"/>
        <n v="1"/>
      </sharedItems>
    </cacheField>
    <cacheField name="Please provide us with any other feedback in your own words here." numFmtId="0">
      <sharedItems containsBlank="1" longText="1"/>
    </cacheField>
    <cacheField name="How likely are you to recommend this service to others at King's?" numFmtId="0">
      <sharedItems containsSemiMixedTypes="0" containsString="0" containsNumber="1" containsInteger="1" minValue="1" maxValue="10" count="10">
        <n v="10"/>
        <n v="2"/>
        <n v="5"/>
        <n v="7"/>
        <n v="8"/>
        <n v="6"/>
        <n v="3"/>
        <n v="9"/>
        <n v="1"/>
        <n v="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7">
  <r>
    <n v="1"/>
    <d v="2023-01-04T08:40:51"/>
    <s v="Dorothy Gale"/>
    <m/>
    <s v="Strand Campus - all buildings, including Virginia Woolf &amp; Maughan Library"/>
    <x v="0"/>
    <s v="Carpet cleaning post furniture removal."/>
    <d v="2022-12-19T00:00:00"/>
    <x v="0"/>
    <x v="0"/>
    <s v="The team did a great job in a very timely manner. Many thanks!"/>
    <x v="0"/>
  </r>
  <r>
    <n v="2"/>
    <d v="2023-01-06T10:34:22"/>
    <s v="Bella Papa"/>
    <m/>
    <s v="Waterloo Campus - James Clerk Maxwell &amp; Waterloo Bridge Wing"/>
    <x v="1"/>
    <s v="I asked for computer monitors to be moved to Bush House"/>
    <d v="2023-01-05T00:00:00"/>
    <x v="0"/>
    <x v="0"/>
    <s v="Excellent Service! The monitors arrived on 1/6/2023"/>
    <x v="0"/>
  </r>
  <r>
    <n v="3"/>
    <d v="2023-01-13T12:46:04"/>
    <s v="Dez Yorna"/>
    <m/>
    <s v="Denmark Hill Campus"/>
    <x v="1"/>
    <s v="Removal of old equipment"/>
    <d v="2023-01-12T00:00:00"/>
    <x v="0"/>
    <x v="0"/>
    <s v="Quick and efficient removal of equipment. Couldn't be bettered"/>
    <x v="0"/>
  </r>
  <r>
    <n v="4"/>
    <d v="2023-01-19T11:40:06"/>
    <s v="Aydin Anderson"/>
    <m/>
    <s v="Strand Campus - all buildings, including Virginia Woolf &amp; Maughan Library"/>
    <x v="2"/>
    <s v="Repair of a lavatory seat in disabled loo -1.16"/>
    <d v="2023-01-17T00:00:00"/>
    <x v="0"/>
    <x v="0"/>
    <s v="I was pleasantly surprised to find that the loo seat had been replaced the day after I put in the ticket. Reamarkably quick work."/>
    <x v="0"/>
  </r>
  <r>
    <n v="5"/>
    <d v="2023-01-20T15:06:02"/>
    <s v="Ike West"/>
    <m/>
    <s v="Guy's Campus - all buildings except New Hunts House"/>
    <x v="1"/>
    <s v="Collection of cage of poster boards."/>
    <d v="2023-01-19T00:00:00"/>
    <x v="0"/>
    <x v="0"/>
    <m/>
    <x v="0"/>
  </r>
  <r>
    <n v="6"/>
    <d v="2023-01-23T15:35:01"/>
    <s v="Mulan Hua"/>
    <m/>
    <s v="Guy's Campus - all buildings except New Hunts House"/>
    <x v="2"/>
    <s v="Broken Toilet"/>
    <d v="2023-01-16T00:00:00"/>
    <x v="1"/>
    <x v="1"/>
    <s v="No response or feedback received til 3 days after submitting the request"/>
    <x v="1"/>
  </r>
  <r>
    <n v="7"/>
    <d v="2023-01-24T21:19:37"/>
    <s v="David Sergant"/>
    <m/>
    <s v="Strand Campus - all buildings, including Virginia Woolf &amp; Maughan Library"/>
    <x v="2"/>
    <s v="Ventilation in Study Café rooms for the Geography Department."/>
    <d v="2023-12-06T00:00:00"/>
    <x v="1"/>
    <x v="1"/>
    <s v="It shouldn't take almost two months to check the ventilation of 3 rooms."/>
    <x v="2"/>
  </r>
  <r>
    <n v="8"/>
    <d v="2023-01-25T14:43:07"/>
    <s v="Fred Waltz"/>
    <m/>
    <s v="Guy's Campus - all buildings except New Hunts House"/>
    <x v="2"/>
    <s v="I requested that the heating in a lecture theatre be turned up as the room was too cold"/>
    <d v="2023-01-20T00:00:00"/>
    <x v="1"/>
    <x v="0"/>
    <s v="I did not feel a difference in temperature while I was in there, perhaps the room needed longer to warm up"/>
    <x v="0"/>
  </r>
  <r>
    <n v="9"/>
    <d v="2023-01-26T14:53:07"/>
    <s v="Jenny Birmingham"/>
    <s v="Yes"/>
    <s v="Strand Campus - all buildings, including Virginia Woolf &amp; Maughan Library"/>
    <x v="2"/>
    <s v="I often cycle to Bush House and then shower. I shower at the gym once a week as well, and I find the water temperature just a bit too cold. I know it’s important to save energy, so I feel bad for asking, but could you turn the water heat up by just a degree or two? I don’t want to be shivering in the shower anymore! "/>
    <d v="2023-01-24T00:00:00"/>
    <x v="0"/>
    <x v="2"/>
    <m/>
    <x v="3"/>
  </r>
  <r>
    <n v="10"/>
    <d v="2023-01-30T09:22:19"/>
    <s v="Selma Grant"/>
    <s v="n/a"/>
    <s v="Strand Campus - all buildings, including Virginia Woolf &amp; Maughan Library"/>
    <x v="2"/>
    <s v="addressing foul smell in women's toilets -- plumbing or cleaning problem which had last more than a month."/>
    <d v="2023-01-24T00:00:00"/>
    <x v="0"/>
    <x v="0"/>
    <s v="Very prompt response; successful resolution to a long-standing problem affecting all women on S8"/>
    <x v="0"/>
  </r>
  <r>
    <n v="11"/>
    <d v="2023-02-01T14:14:18"/>
    <s v="Zane Chu"/>
    <s v="No"/>
    <s v="Strand Campus - all buildings, including Virginia Woolf &amp; Maughan Library"/>
    <x v="2"/>
    <s v="Power cut off in the cafe "/>
    <d v="2023-02-01T00:00:00"/>
    <x v="0"/>
    <x v="0"/>
    <s v="Power cut of in our one of cafe. Team arrived very quickly and solved the problem "/>
    <x v="0"/>
  </r>
  <r>
    <n v="12"/>
    <d v="2023-02-02T10:04:34"/>
    <s v="Warren Tracey"/>
    <s v="n/a"/>
    <s v="Guy's Campus - all buildings except New Hunts House"/>
    <x v="1"/>
    <s v="Empty Confidential Waste Bin"/>
    <d v="2023-01-31T00:00:00"/>
    <x v="0"/>
    <x v="0"/>
    <s v="Excellent Service as ever by Facilities team, Thank you"/>
    <x v="0"/>
  </r>
  <r>
    <n v="13"/>
    <d v="2023-02-02T14:04:14"/>
    <s v="Ron Tempernillo"/>
    <m/>
    <s v="Strand Campus - all buildings, including Virginia Woolf &amp; Maughan Library"/>
    <x v="2"/>
    <s v="The radiator wasn't heating up efficiently, meaning that my office only ever came to 15 degrees centigrade and no higher. I was doing meetings in my coat and hat! It seems to be sorted now, so thanks a million - lifesavers!"/>
    <d v="2023-01-09T00:00:00"/>
    <x v="0"/>
    <x v="0"/>
    <s v="I didn't receive any ongoing updates as to the progression of the case, which might have been useful. Moreover, it seems to have been fixed, because one day I entered the office and found it fully functional, but I had to discover this for myself. A little bit more constant communication would have been beneficial, but overall I'm highly satisfied. Thank you."/>
    <x v="4"/>
  </r>
  <r>
    <n v="14"/>
    <d v="2023-02-03T11:19:58"/>
    <s v="Peter Parker"/>
    <m/>
    <s v="Guy's Campus - all buildings except New Hunts House"/>
    <x v="1"/>
    <s v="Electrical waste collection"/>
    <d v="2023-01-30T00:00:00"/>
    <x v="0"/>
    <x v="3"/>
    <m/>
    <x v="3"/>
  </r>
  <r>
    <n v="15"/>
    <d v="2023-02-07T15:47:10"/>
    <s v="Ryan Burke"/>
    <m/>
    <s v="Strand Campus - all buildings, including Virginia Woolf &amp; Maughan Library"/>
    <x v="2"/>
    <s v="Lights not working"/>
    <d v="2023-02-07T00:00:00"/>
    <x v="0"/>
    <x v="0"/>
    <s v="The team was fantastic. I was really impressed with how quickly they came back to request more details, and then came to fix the problem."/>
    <x v="0"/>
  </r>
  <r>
    <n v="16"/>
    <d v="2023-02-07T16:18:58"/>
    <s v="Anthony Alan"/>
    <s v="Yes"/>
    <s v="Guy's Campus - all buildings except New Hunts House"/>
    <x v="2"/>
    <s v="Please confirm the engineering comments / what was actually done and when in relation to my request. My request was in relation to a H&amp;S issue thus I require a record of suitable timely response."/>
    <d v="2022-11-24T00:00:00"/>
    <x v="0"/>
    <x v="2"/>
    <s v="Comments of how the job was complete should be standard in the closing ticket email."/>
    <x v="3"/>
  </r>
  <r>
    <n v="17"/>
    <d v="2023-02-08T14:10:02"/>
    <s v="David Sergant"/>
    <m/>
    <s v="Waterloo Campus - James Clerk Maxwell &amp; Waterloo Bridge Wing"/>
    <x v="1"/>
    <s v="New window blind fitted "/>
    <d v="2022-12-06T00:00:00"/>
    <x v="1"/>
    <x v="2"/>
    <s v="I had to chase up 3 times. "/>
    <x v="3"/>
  </r>
  <r>
    <n v="18"/>
    <d v="2023-02-09T12:33:19"/>
    <s v="Elaine Hertz"/>
    <s v="Yes"/>
    <s v="Strand Campus - all buildings, including Virginia Woolf &amp; Maughan Library"/>
    <x v="2"/>
    <s v="Two lights not working; one is on a very high ceiling that requires scaffolding"/>
    <d v="2022-11-22T00:00:00"/>
    <x v="1"/>
    <x v="2"/>
    <s v="Lower light was fixed; someone came to assess for scaffolding and said it would be done before Christmas in the quieter period, but the work hasn't been done and the ticket is closed."/>
    <x v="5"/>
  </r>
  <r>
    <n v="19"/>
    <d v="2023-02-14T14:50:54"/>
    <s v="Anthony Alan"/>
    <m/>
    <s v="Denmark Hill Campus"/>
    <x v="2"/>
    <s v="Plumbing"/>
    <d v="2023-02-07T00:00:00"/>
    <x v="0"/>
    <x v="0"/>
    <m/>
    <x v="0"/>
  </r>
  <r>
    <n v="20"/>
    <d v="2023-02-16T12:19:25"/>
    <s v="Ha-Hei Long"/>
    <m/>
    <s v="Denmark Hill Campus"/>
    <x v="2"/>
    <s v="fixing up new hooks for lab coats in main lab "/>
    <d v="2023-02-14T00:00:00"/>
    <x v="0"/>
    <x v="3"/>
    <s v="gereat stuff - all done really quickly thanks "/>
    <x v="4"/>
  </r>
  <r>
    <n v="21"/>
    <d v="2023-02-17T13:04:01"/>
    <s v="Oliver Marks"/>
    <m/>
    <s v="Strand Campus - all buildings, including Virginia Woolf &amp; Maughan Library"/>
    <x v="1"/>
    <s v="Desk moves."/>
    <d v="2023-02-14T00:00:00"/>
    <x v="0"/>
    <x v="0"/>
    <s v="Work completed quickly and efficiently - many thanks!"/>
    <x v="0"/>
  </r>
  <r>
    <n v="22"/>
    <d v="2023-02-21T12:42:01"/>
    <s v="Laila Stone"/>
    <m/>
    <s v="Guy's Campus - all buildings except New Hunts House"/>
    <x v="1"/>
    <s v="WEEE removal"/>
    <d v="2023-02-07T00:00:00"/>
    <x v="0"/>
    <x v="0"/>
    <m/>
    <x v="0"/>
  </r>
  <r>
    <n v="23"/>
    <d v="2023-02-21T15:18:07"/>
    <s v="Anthony Alan"/>
    <m/>
    <s v="Strand Campus - all buildings, including Virginia Woolf &amp; Maughan Library"/>
    <x v="2"/>
    <s v="Leaky water fountain"/>
    <d v="2023-02-03T00:00:00"/>
    <x v="0"/>
    <x v="0"/>
    <s v="Would be great to get more information about the way the problem was solved, what dificulties were faced and how it has influenced long term policy. I've noticed that there may be other water fountains with the same issue, have they been reviewed? how did you fix it? Was it a one off or can we expect hits problem to continue happening? etc"/>
    <x v="0"/>
  </r>
  <r>
    <n v="24"/>
    <d v="2023-02-28T09:40:46"/>
    <s v="Eli Bruce"/>
    <s v="Yes"/>
    <s v="Strand Campus - all buildings, including Virginia Woolf &amp; Maughan Library"/>
    <x v="2"/>
    <s v="Handrail on steps is wobbly"/>
    <d v="2023-02-06T00:00:00"/>
    <x v="1"/>
    <x v="4"/>
    <s v="The ticket has been marked as 'completed' but the handrail is still wobbly."/>
    <x v="6"/>
  </r>
  <r>
    <n v="25"/>
    <d v="2023-03-01T11:44:15"/>
    <s v="Chanel Hubbard"/>
    <m/>
    <s v="Waterloo Campus - James Clerk Maxwell &amp; Waterloo Bridge Wing"/>
    <x v="0"/>
    <s v="The request was for removal of bulk general waste as I am clearing my office."/>
    <d v="2023-02-28T00:00:00"/>
    <x v="0"/>
    <x v="0"/>
    <s v="The service was so efficient and smooth. THank you."/>
    <x v="0"/>
  </r>
  <r>
    <n v="26"/>
    <d v="2023-03-02T14:24:47"/>
    <s v="Laila Stone"/>
    <s v="Yes"/>
    <s v="Guy's Campus - all buildings except New Hunts House"/>
    <x v="2"/>
    <s v="The fire exit sign above the door to this workspace had been knocked off by the door that opens into it. We could not reattach it to the ceiling."/>
    <d v="2023-02-28T00:00:00"/>
    <x v="0"/>
    <x v="0"/>
    <s v="Very good. The sign is now reattached."/>
    <x v="4"/>
  </r>
  <r>
    <n v="27"/>
    <d v="2023-03-07T17:04:19"/>
    <s v="Kat Wallace"/>
    <m/>
    <s v="Strand Campus - all buildings, including Virginia Woolf &amp; Maughan Library"/>
    <x v="2"/>
    <s v="Lights not working in the Anatomy Museum K6.36"/>
    <d v="2023-03-02T00:00:00"/>
    <x v="0"/>
    <x v="0"/>
    <s v="The team went above and beyond to make sure that the lights were working properly very soon after I reported it. This meant that our performances could go ahead and the audience were very happy. Thanks very much to Robson and the whole team."/>
    <x v="0"/>
  </r>
  <r>
    <n v="28"/>
    <d v="2023-03-08T10:21:25"/>
    <s v="Kim Li"/>
    <m/>
    <s v="Strand Campus - all buildings, including Virginia Woolf &amp; Maughan Library"/>
    <x v="1"/>
    <s v="Furniture removal and temporary storage ahead of refurbishment works"/>
    <d v="2023-03-06T00:00:00"/>
    <x v="0"/>
    <x v="0"/>
    <s v="Edwar and the team went above and beyond on this job, many thanks!"/>
    <x v="0"/>
  </r>
  <r>
    <n v="29"/>
    <d v="2023-03-14T13:00:35"/>
    <s v="Anthony Alan"/>
    <m/>
    <s v="Guy's Campus - all buildings except New Hunts House"/>
    <x v="2"/>
    <s v="Fix leak from ceiling"/>
    <d v="2023-03-09T00:00:00"/>
    <x v="0"/>
    <x v="3"/>
    <s v="It would be good when engineers came to look into the problem to contact us so someone is on site and in person to ask questions and understand the issue during it is being looked at and fixed so potentially we can also fix the issue oursleves and understand what caused the problem better for next time."/>
    <x v="7"/>
  </r>
  <r>
    <n v="30"/>
    <d v="2023-03-16T10:29:36"/>
    <s v="Ed Salter"/>
    <m/>
    <s v="Denmark Hill Campus"/>
    <x v="0"/>
    <s v="Carpet deep cleaning"/>
    <d v="2023-03-15T00:00:00"/>
    <x v="0"/>
    <x v="0"/>
    <s v="Job well done and on time"/>
    <x v="7"/>
  </r>
  <r>
    <n v="32"/>
    <d v="2023-03-16T13:56:29"/>
    <s v="Tracey Darren"/>
    <m/>
    <s v="Guy's Campus - all buildings except New Hunts House"/>
    <x v="2"/>
    <s v="Fixing house lights in the Science Gallery Theatre"/>
    <d v="2023-02-23T00:00:00"/>
    <x v="0"/>
    <x v="0"/>
    <s v="Brilliant fix from the electrical guys - thank you"/>
    <x v="0"/>
  </r>
  <r>
    <n v="33"/>
    <d v="2023-03-20T11:09:26"/>
    <s v="Sean Stewart"/>
    <m/>
    <s v="Strand Campus - all buildings, including Virginia Woolf &amp; Maughan Library"/>
    <x v="0"/>
    <s v="A disabled toilet was blocked and overflowed."/>
    <d v="2023-03-16T00:00:00"/>
    <x v="0"/>
    <x v="3"/>
    <s v="I saw a member of staff going to clear the bathroom within a short amount of time."/>
    <x v="7"/>
  </r>
  <r>
    <n v="34"/>
    <d v="2023-03-27T19:47:09"/>
    <s v="Sheila Oz"/>
    <m/>
    <s v="Denmark Hill Campus"/>
    <x v="2"/>
    <s v="Put up item (noticeboard/whiteboard/hooks etc)"/>
    <d v="2022-10-21T00:00:00"/>
    <x v="0"/>
    <x v="0"/>
    <s v="Delay was not due to Estates but after the first visit, we realised the work was more involved and we have to purchase a new picture frames before Estates ciould complete the job. Overall, we are very satisfied.t "/>
    <x v="0"/>
  </r>
  <r>
    <n v="35"/>
    <d v="2023-03-28T17:03:13"/>
    <s v="Erin Watts"/>
    <m/>
    <s v="Waterloo Campus - James Clerk Maxwell &amp; Waterloo Bridge Wing"/>
    <x v="0"/>
    <s v="At present I am clearing my office. Estates and facilities are helping enormously with the disposal of certain items, including confidential  waste."/>
    <d v="2023-03-23T00:00:00"/>
    <x v="0"/>
    <x v="0"/>
    <s v="It is so helpful to have this professional, efficient support from Estates and Facilities. Thank you."/>
    <x v="0"/>
  </r>
  <r>
    <n v="36"/>
    <d v="2023-03-29T18:14:10"/>
    <s v="Sheila Oz"/>
    <m/>
    <s v="Guy's Campus - all buildings except New Hunts House"/>
    <x v="0"/>
    <s v="Empty sanitary dispenser "/>
    <d v="2023-03-28T00:00:00"/>
    <x v="0"/>
    <x v="3"/>
    <s v="Very quick response via email. Received an update once the request had been completed"/>
    <x v="4"/>
  </r>
  <r>
    <n v="37"/>
    <d v="2023-03-30T08:13:18"/>
    <s v="Lorna Chills"/>
    <m/>
    <s v="Guy's Campus - all buildings except New Hunts House"/>
    <x v="3"/>
    <s v="I noticed a door closer was broken and hanging loose and so when the door was opened, it would swing shut onto the broken bit preventing it from closing securely and locking, so this was a security risk as it meant the door could not guarantee to close completely and was just beeping."/>
    <d v="2023-03-27T00:00:00"/>
    <x v="0"/>
    <x v="3"/>
    <s v="I dislike the way that my ticket is resolved with absolutely no information about what was done to resolve it. I should see some resolution description about what was done eg 'door lock was replaced/broken glass was replaced, door was locked while we wait for access to be protected etc etc'. I am glad my query was dealt with quickly but I want to see what was actually done in my ticket resolution please."/>
    <x v="2"/>
  </r>
  <r>
    <n v="38"/>
    <d v="2023-03-30T09:44:35"/>
    <s v="Ben Wills"/>
    <m/>
    <s v="Strand Campus - all buildings, including Virginia Woolf &amp; Maughan Library"/>
    <x v="2"/>
    <s v="Making an additional key"/>
    <d v="2023-03-01T00:00:00"/>
    <x v="1"/>
    <x v="2"/>
    <s v="I am grateful to receive the key, and communications from Estates have been helpful, but I was surprised that it took 20 working days to produce a key (as were King's security!). Qu. 10 below seems to me to be irrelevant as I understood that the key had to be manufactured by King's Estates. "/>
    <x v="2"/>
  </r>
  <r>
    <n v="39"/>
    <d v="2023-04-05T14:48:26"/>
    <s v="Chang Moon"/>
    <m/>
    <s v="Denmark Hill Campus"/>
    <x v="2"/>
    <s v="put up new key holders 3rd floor "/>
    <d v="2023-04-03T00:00:00"/>
    <x v="0"/>
    <x v="3"/>
    <s v="great response time thank you "/>
    <x v="7"/>
  </r>
  <r>
    <n v="40"/>
    <d v="2023-04-11T11:12:10"/>
    <s v="Erik Marks"/>
    <m/>
    <s v="Waterloo Campus - James Clerk Maxwell &amp; Waterloo Bridge Wing"/>
    <x v="0"/>
    <s v="I needed to clear my office"/>
    <d v="2023-03-30T00:00:00"/>
    <x v="0"/>
    <x v="0"/>
    <s v="excellent service, thank you"/>
    <x v="0"/>
  </r>
  <r>
    <n v="41"/>
    <d v="2023-04-11T12:42:44"/>
    <s v="Val Wright"/>
    <m/>
    <s v="Denmark Hill Campus"/>
    <x v="2"/>
    <s v="Lift Remedial"/>
    <d v="2023-04-04T00:00:00"/>
    <x v="0"/>
    <x v="0"/>
    <s v="Excellent "/>
    <x v="0"/>
  </r>
  <r>
    <n v="42"/>
    <d v="2023-04-12T14:16:43"/>
    <s v="Bic Runga"/>
    <s v="Yes"/>
    <s v="Guy's Campus - all buildings except New Hunts House"/>
    <x v="2"/>
    <s v="Repair of door closure mechanism - main doors to floor so a security issue"/>
    <d v="2023-04-12T00:00:00"/>
    <x v="0"/>
    <x v="0"/>
    <s v="Isaac arrived in double quick time and repaired the door quickly, explaining what was wrong. He's a really nice bloke too!"/>
    <x v="0"/>
  </r>
  <r>
    <n v="43"/>
    <d v="2023-04-24T10:01:08"/>
    <s v="Johan Kim"/>
    <s v="Yes"/>
    <s v="Guy's Campus - all buildings except New Hunts House"/>
    <x v="2"/>
    <s v="batteries need replacing in fire exit signs as they are beeping due to low battery"/>
    <d v="2022-10-03T00:00:00"/>
    <x v="1"/>
    <x v="4"/>
    <s v="At least one of the signs is still beeping so the work wasn't completed. However 6 months after being raised, the request was closed."/>
    <x v="8"/>
  </r>
  <r>
    <n v="44"/>
    <d v="2023-04-27T16:58:38"/>
    <s v="Andy Chan"/>
    <m/>
    <s v="A King's Residence"/>
    <x v="4"/>
    <s v="Request for residence application"/>
    <d v="2023-04-26T00:00:00"/>
    <x v="0"/>
    <x v="0"/>
    <s v="Helpful and swift response from Liam"/>
    <x v="0"/>
  </r>
  <r>
    <n v="45"/>
    <d v="2023-05-03T15:36:03"/>
    <s v="Will Samson"/>
    <m/>
    <s v="A King's Residence"/>
    <x v="4"/>
    <s v="requested help with online portal issue"/>
    <d v="2023-05-03T00:00:00"/>
    <x v="0"/>
    <x v="0"/>
    <s v="Jas/Jaz was really helpful on the residences phone number. Thank you!"/>
    <x v="0"/>
  </r>
  <r>
    <n v="46"/>
    <d v="2023-05-09T16:05:30"/>
    <s v="Barbara Benneditto"/>
    <m/>
    <s v="Guy's Campus - all buildings except New Hunts House"/>
    <x v="1"/>
    <s v="Moving IT equipment from FWB to Lavington Street, as IT cannot deliver to Lavington Street"/>
    <d v="2023-05-04T00:00:00"/>
    <x v="0"/>
    <x v="0"/>
    <s v="The team were extremely responsive and helpful. Very impressed and much appreciated!"/>
    <x v="0"/>
  </r>
  <r>
    <n v="47"/>
    <d v="2023-05-12T10:57:13"/>
    <s v="Claire King"/>
    <m/>
    <s v="Denmark Hill Campus"/>
    <x v="2"/>
    <s v="a faulty lock on disabled toilet door "/>
    <d v="2023-05-09T00:00:00"/>
    <x v="0"/>
    <x v="0"/>
    <s v="Quick Response"/>
    <x v="0"/>
  </r>
  <r>
    <n v="48"/>
    <d v="2023-05-16T08:55:44"/>
    <s v="Claire King"/>
    <m/>
    <s v="Strand Campus - all buildings, including Virginia Woolf &amp; Maughan Library"/>
    <x v="2"/>
    <s v="overflowing urinals"/>
    <d v="2023-05-15T00:00:00"/>
    <x v="0"/>
    <x v="0"/>
    <s v="An efficient system and service"/>
    <x v="0"/>
  </r>
  <r>
    <n v="49"/>
    <d v="2023-05-18T14:28:45"/>
    <s v="Zoe Liu"/>
    <m/>
    <s v="Denmark Hill Campus"/>
    <x v="1"/>
    <s v="removl/ disposal of old incubator - by Dan and team. "/>
    <d v="2023-05-18T00:00:00"/>
    <x v="0"/>
    <x v="0"/>
    <s v="thank you for being so quick!"/>
    <x v="0"/>
  </r>
  <r>
    <n v="50"/>
    <d v="2023-05-22T08:17:32"/>
    <s v="Laila Stone"/>
    <m/>
    <s v="Denmark Hill Campus"/>
    <x v="1"/>
    <s v="moving tables etc 2nd floor JBC"/>
    <d v="2023-05-18T00:00:00"/>
    <x v="0"/>
    <x v="0"/>
    <s v="great team - thanks "/>
    <x v="0"/>
  </r>
  <r>
    <n v="51"/>
    <d v="2023-05-24T08:01:40"/>
    <s v="Sarah Merry"/>
    <m/>
    <s v="Guy's Campus - all buildings except New Hunts House"/>
    <x v="2"/>
    <s v="Squeaky doors in Counselling corridor in Henriette Raphael"/>
    <d v="2023-05-18T00:00:00"/>
    <x v="0"/>
    <x v="0"/>
    <s v="Dealt with at the time I had requested before colleagues were seeing students. Very efficient and courteous."/>
    <x v="0"/>
  </r>
  <r>
    <n v="52"/>
    <d v="2023-05-24T21:23:58"/>
    <s v="Dipak Patel"/>
    <m/>
    <s v="Strand Campus - all buildings, including Virginia Woolf &amp; Maughan Library"/>
    <x v="2"/>
    <s v="air conditioning"/>
    <d v="2023-04-28T00:00:00"/>
    <x v="1"/>
    <x v="4"/>
    <s v="the issue was fully ignored."/>
    <x v="8"/>
  </r>
  <r>
    <n v="53"/>
    <d v="2023-05-30T09:40:24"/>
    <s v="Samantha Rake"/>
    <m/>
    <s v="Denmark Hill Campus"/>
    <x v="2"/>
    <s v="Fire door closing mechanism"/>
    <d v="2023-05-25T00:00:00"/>
    <x v="0"/>
    <x v="0"/>
    <s v="Job well done and on time"/>
    <x v="0"/>
  </r>
  <r>
    <n v="54"/>
    <d v="2023-05-31T10:34:34"/>
    <s v="Sheila Oz"/>
    <m/>
    <s v="Guy's Campus - all buildings except New Hunts House"/>
    <x v="2"/>
    <s v="A card access was not working properly"/>
    <d v="2023-05-26T00:00:00"/>
    <x v="0"/>
    <x v="0"/>
    <s v="great work, quick and efficient "/>
    <x v="0"/>
  </r>
  <r>
    <n v="55"/>
    <d v="2023-06-07T13:27:28"/>
    <s v="Caz West"/>
    <s v="Although the job was reported as completed, the lid of cistern was removed and flush was not fixed"/>
    <s v="Waterloo Campus - James Clerk Maxwell &amp; Waterloo Bridge Wing"/>
    <x v="2"/>
    <s v="The cistern lid  was removed and eventually my colleaugue fixed it themselves and put the lid back, so the flush is now working, but had to be fixed by a member of staff. WE are unhappy that the job is reported as completed, with no further information &amp; a member of staff fixed it themselves."/>
    <d v="2023-05-17T00:00:00"/>
    <x v="1"/>
    <x v="4"/>
    <s v="Please use another word like pending, if not complete- it is misleading &amp; incorrect."/>
    <x v="8"/>
  </r>
  <r>
    <n v="56"/>
    <d v="2023-06-07T15:27:31"/>
    <s v="Dan Ivanovich "/>
    <m/>
    <s v="Strand Campus - all buildings, including Virginia Woolf &amp; Maughan Library"/>
    <x v="2"/>
    <s v="All lights not working in room"/>
    <d v="2022-02-04T00:00:00"/>
    <x v="1"/>
    <x v="4"/>
    <s v="It took them nearly half a year to fix the lights, and one and half years to send me the notice that the ticket is closed. Amazing!"/>
    <x v="8"/>
  </r>
  <r>
    <n v="57"/>
    <d v="2023-06-14T13:03:43"/>
    <s v="Ray Wilson"/>
    <m/>
    <s v="Denmark Hill Campus"/>
    <x v="1"/>
    <s v="Providing poster boards and setting up the room"/>
    <d v="2022-12-20T00:00:00"/>
    <x v="0"/>
    <x v="0"/>
    <s v="The poster boards have been provided in good time and in accordance with the request, the room has been set up very well. Thank you so much!"/>
    <x v="0"/>
  </r>
  <r>
    <n v="58"/>
    <d v="2023-06-19T10:10:19"/>
    <s v="Jimmy Chin"/>
    <m/>
    <s v="Guy's Campus - all buildings except New Hunts House"/>
    <x v="1"/>
    <s v="WEEE collection"/>
    <d v="2023-05-11T00:00:00"/>
    <x v="0"/>
    <x v="0"/>
    <s v="Good work"/>
    <x v="0"/>
  </r>
  <r>
    <n v="59"/>
    <d v="2023-06-23T14:54:10"/>
    <s v="Erin Watts"/>
    <m/>
    <s v="Guy's Campus - all buildings except New Hunts House"/>
    <x v="2"/>
    <s v="Replacing a ceiling light"/>
    <d v="2023-06-20T00:00:00"/>
    <x v="0"/>
    <x v="0"/>
    <s v="Thanks for the swift service"/>
    <x v="0"/>
  </r>
  <r>
    <n v="60"/>
    <d v="2023-06-28T13:21:00"/>
    <s v="Macey Green"/>
    <m/>
    <s v="Strand Campus - all buildings, including Virginia Woolf &amp; Maughan Library"/>
    <x v="2"/>
    <s v="Lost ring down sink"/>
    <d v="2023-06-28T00:00:00"/>
    <x v="0"/>
    <x v="0"/>
    <s v="I lost a sentimental ring down the sink - couldn't believe it was retrieved so quickly. So thankful!"/>
    <x v="0"/>
  </r>
  <r>
    <n v="61"/>
    <d v="2023-07-04T09:11:28"/>
    <s v="Bruce Wayne"/>
    <m/>
    <s v="Denmark Hill Campus"/>
    <x v="1"/>
    <s v="I asked for x5 WEEE items to be collected (x3 hard drives, small scanner and printer cartridge)"/>
    <d v="2023-06-30T00:00:00"/>
    <x v="0"/>
    <x v="0"/>
    <s v="Nick (from IoPPN) collected all the items very promptly and efficiently this morning which is really great. Thanks very much."/>
    <x v="0"/>
  </r>
  <r>
    <n v="62"/>
    <d v="2023-07-07T15:07:45"/>
    <s v="Claire Bale"/>
    <m/>
    <s v="Denmark Hill Campus"/>
    <x v="1"/>
    <s v="Moving an incubator between labs"/>
    <d v="2023-06-30T00:00:00"/>
    <x v="0"/>
    <x v="0"/>
    <s v="Staff at JBC are very competent and helpful."/>
    <x v="0"/>
  </r>
  <r>
    <n v="63"/>
    <d v="2023-07-10T14:30:26"/>
    <s v="Bernie McGill"/>
    <m/>
    <s v="Guy's Campus - New Hunts House"/>
    <x v="2"/>
    <s v="Paint Lamppost "/>
    <d v="2023-06-29T00:00:00"/>
    <x v="0"/>
    <x v="0"/>
    <s v="Great job"/>
    <x v="0"/>
  </r>
  <r>
    <n v="64"/>
    <d v="2023-07-20T10:54:41"/>
    <s v="Steve Peppers"/>
    <m/>
    <s v="Waterloo Campus - James Clerk Maxwell &amp; Waterloo Bridge Wing"/>
    <x v="2"/>
    <s v="We had a new kitchen installed but the water cooler was not plumbed back in."/>
    <d v="2023-07-18T00:00:00"/>
    <x v="0"/>
    <x v="3"/>
    <s v="They also forgot to do this when they installed a new kitchen on the 1st floor."/>
    <x v="0"/>
  </r>
  <r>
    <n v="65"/>
    <d v="2023-07-24T10:22:40"/>
    <s v="Erin Dreaver"/>
    <m/>
    <s v="Guy's Campus - all buildings except New Hunts House"/>
    <x v="2"/>
    <s v="Light bulbs needing replacing "/>
    <d v="2023-07-21T00:00:00"/>
    <x v="0"/>
    <x v="0"/>
    <s v="Quick to reply and resolve the problem"/>
    <x v="0"/>
  </r>
  <r>
    <n v="66"/>
    <d v="2023-07-24T15:41:12"/>
    <s v="Fern Maine"/>
    <m/>
    <s v="Guy's Campus - all buildings except New Hunts House"/>
    <x v="1"/>
    <s v="collect confidential waste bags and provide new ones with cable ties"/>
    <d v="2023-07-24T00:00:00"/>
    <x v="0"/>
    <x v="0"/>
    <s v="very quick and efficient service from a professional member of your team"/>
    <x v="0"/>
  </r>
  <r>
    <n v="67"/>
    <d v="2023-07-26T12:00:03"/>
    <s v="Fern Maine"/>
    <m/>
    <s v="Strand Campus - all buildings, including Virginia Woolf &amp; Maughan Library"/>
    <x v="2"/>
    <s v="Fluorescent tube changes"/>
    <d v="2023-07-25T00:00:00"/>
    <x v="0"/>
    <x v="0"/>
    <s v="The cogs and gears that keep KCL working, I have great respect for all Estates team members.  Many thanks!"/>
    <x v="0"/>
  </r>
  <r>
    <n v="68"/>
    <d v="2023-07-28T12:03:03"/>
    <s v="Gill West"/>
    <m/>
    <s v="Guy's Campus - all buildings except New Hunts House"/>
    <x v="2"/>
    <s v="Toilet next to room 2.90W Hodgkin Building not flushing"/>
    <d v="2023-07-27T00:00:00"/>
    <x v="0"/>
    <x v="0"/>
    <s v="The maintenance guy (sorry I don't have his name) informed me that the problem with the toilet is not the flush mechanist but rather the supply of water from some tank that is faulty and scheduled to be repaired.  The guy was extremely helpful in describing the nature of the problem  I was are very much appreciative of his dedication to all of out needs including this particular one"/>
    <x v="0"/>
  </r>
  <r>
    <n v="69"/>
    <d v="2023-08-02T13:38:25"/>
    <s v="Rita Leaf"/>
    <m/>
    <s v="Denmark Hill Campus"/>
    <x v="1"/>
    <s v="WEEE collection and other furniture/equipment clearance"/>
    <d v="2023-08-01T00:00:00"/>
    <x v="0"/>
    <x v="0"/>
    <s v="Nick was lovely, friendly and efficient, thank you!"/>
    <x v="0"/>
  </r>
  <r>
    <n v="70"/>
    <d v="2023-08-10T14:57:22"/>
    <s v="Bo Runga"/>
    <m/>
    <s v="Denmark Hill Campus"/>
    <x v="2"/>
    <s v="Power cut in my office because of water spillage "/>
    <d v="2023-08-09T00:00:00"/>
    <x v="0"/>
    <x v="0"/>
    <s v="Thank you so much for your help. "/>
    <x v="0"/>
  </r>
  <r>
    <n v="71"/>
    <d v="2023-08-16T10:08:15"/>
    <s v="Garth Eager"/>
    <m/>
    <s v="Denmark Hill Campus"/>
    <x v="2"/>
    <s v="Broken door handle"/>
    <d v="2023-08-14T00:00:00"/>
    <x v="0"/>
    <x v="0"/>
    <s v="Job done on time"/>
    <x v="0"/>
  </r>
  <r>
    <n v="72"/>
    <d v="2023-08-21T08:47:25"/>
    <s v="Dean Hoki"/>
    <s v="Yes"/>
    <s v="Denmark Hill Campus"/>
    <x v="2"/>
    <s v="temperature"/>
    <d v="2023-07-18T00:00:00"/>
    <x v="1"/>
    <x v="4"/>
    <s v="there was no response, the ticket was just closed (over a month later) with no info"/>
    <x v="8"/>
  </r>
  <r>
    <n v="73"/>
    <d v="2023-08-25T22:40:37"/>
    <s v="Jim Greene"/>
    <m/>
    <s v="Guy's Campus - all buildings except New Hunts House"/>
    <x v="1"/>
    <s v="Emergency help  with moving office furniture by the end of the day"/>
    <d v="2023-08-25T00:00:00"/>
    <x v="0"/>
    <x v="0"/>
    <s v="Person who took my request at lunch time was really polite and manage to get Estates team to come out within 2 hours to help me swap office furniture around in two offices, and help reassemble tables. Thanks to the person who took my telephone request and the two chaps who came to help out!"/>
    <x v="0"/>
  </r>
  <r>
    <n v="74"/>
    <d v="2023-08-29T14:51:10"/>
    <s v="Atlas Steel"/>
    <m/>
    <s v="Strand Campus - all buildings, including Virginia Woolf &amp; Maughan Library"/>
    <x v="2"/>
    <s v="key card to room didn't work"/>
    <d v="2023-08-29T00:00:00"/>
    <x v="0"/>
    <x v="0"/>
    <s v="Very quick response and job sorted in a matter of hours"/>
    <x v="0"/>
  </r>
  <r>
    <n v="75"/>
    <d v="2023-08-30T09:28:55"/>
    <s v="Tim Xi"/>
    <m/>
    <s v="St Thomas's Campus"/>
    <x v="2"/>
    <s v="Card reader stopped working. We couldn't get access to our control room"/>
    <d v="2023-08-24T00:00:00"/>
    <x v="0"/>
    <x v="0"/>
    <s v="As usual quick and great work perfomed"/>
    <x v="0"/>
  </r>
  <r>
    <n v="76"/>
    <d v="2023-09-06T13:59:19"/>
    <s v="Laila Stone"/>
    <s v="n/a"/>
    <s v="Denmark Hill Campus"/>
    <x v="1"/>
    <s v="n/a"/>
    <d v="2023-08-31T00:00:00"/>
    <x v="0"/>
    <x v="0"/>
    <s v="Excellent service, Colleagues called and confirm completion the set up which was fantastic gesture. Thank you"/>
    <x v="0"/>
  </r>
  <r>
    <n v="77"/>
    <d v="2023-09-11T13:03:18"/>
    <s v="Kelly Riley"/>
    <s v="Yes"/>
    <s v="Strand Campus - all buildings, including Virginia Woolf &amp; Maughan Library"/>
    <x v="2"/>
    <s v="AC not working"/>
    <d v="2023-09-11T00:00:00"/>
    <x v="1"/>
    <x v="4"/>
    <s v="No "/>
    <x v="8"/>
  </r>
  <r>
    <n v="78"/>
    <d v="2023-09-13T13:57:40"/>
    <s v="Taylor Meekes"/>
    <s v="Yes"/>
    <s v="Waterloo Campus - James Clerk Maxwell &amp; Waterloo Bridge Wing"/>
    <x v="2"/>
    <s v="several light bulbs are not working in JCMB 3.21 anymore and needs replacing"/>
    <d v="2023-09-05T00:00:00"/>
    <x v="1"/>
    <x v="4"/>
    <s v="Someone came and had a look at a couple of lights, left, said they would be back the following day but never did. All the blown lights are the same as before."/>
    <x v="8"/>
  </r>
  <r>
    <n v="79"/>
    <d v="2023-09-14T10:11:01"/>
    <s v="Graham Smith"/>
    <m/>
    <s v="Strand Campus - all buildings, including Virginia Woolf &amp; Maughan Library"/>
    <x v="2"/>
    <s v="reset locker password"/>
    <d v="2023-09-04T00:00:00"/>
    <x v="1"/>
    <x v="2"/>
    <s v="Would like to have more responsive assistance, esp not marking a request as completed without no information sent (we still do not know what has been changed)."/>
    <x v="9"/>
  </r>
  <r>
    <n v="80"/>
    <d v="2023-09-18T15:00:35"/>
    <s v="Abby Smith"/>
    <m/>
    <s v="Denmark Hill Campus"/>
    <x v="1"/>
    <s v="We asked for 1 Poster Board to be set up in IoPPN Seminar Room 4."/>
    <d v="2023-08-24T00:00:00"/>
    <x v="0"/>
    <x v="0"/>
    <s v="Was professionally set up for confidential Poster exam session and chairs were nicely placed in front of the board."/>
    <x v="0"/>
  </r>
  <r>
    <n v="81"/>
    <d v="2023-09-18T15:04:10"/>
    <s v="Dorothy Gale"/>
    <m/>
    <s v="Denmark Hill Campus"/>
    <x v="1"/>
    <s v="We asked for 3 Poster Boards to be set up in IoPPN Seminar Room 1 and 1 Poster Board to be set up in Seminar Room 2."/>
    <d v="2023-09-06T00:00:00"/>
    <x v="0"/>
    <x v="0"/>
    <s v="Was professionally set up."/>
    <x v="0"/>
  </r>
  <r>
    <n v="82"/>
    <d v="2023-09-20T18:17:05"/>
    <s v="Bella Papa"/>
    <m/>
    <s v="A King's Residence"/>
    <x v="5"/>
    <s v="no hot water in ensuite"/>
    <d v="2023-09-18T00:00:00"/>
    <x v="0"/>
    <x v="0"/>
    <s v="Very friendly and helpful"/>
    <x v="0"/>
  </r>
  <r>
    <n v="83"/>
    <d v="2023-09-21T12:45:54"/>
    <s v="Dez Yorna"/>
    <s v="Yes"/>
    <s v="Denmark Hill Campus"/>
    <x v="1"/>
    <s v="n/a"/>
    <d v="2023-09-21T00:00:00"/>
    <x v="0"/>
    <x v="0"/>
    <s v="perfect"/>
    <x v="7"/>
  </r>
  <r>
    <n v="84"/>
    <d v="2023-09-22T10:04:06"/>
    <s v="Aydin Anderson"/>
    <s v="Yes"/>
    <s v="Guy's Campus - all buildings except New Hunts House"/>
    <x v="2"/>
    <s v="Blocked sink"/>
    <d v="2023-09-21T00:00:00"/>
    <x v="0"/>
    <x v="0"/>
    <s v="Great turnaround time. It looked like the hot water tap pipe is dripping when used though. "/>
    <x v="0"/>
  </r>
  <r>
    <n v="85"/>
    <d v="2023-09-25T08:19:43"/>
    <s v="Ike West"/>
    <s v="Yes"/>
    <s v="A King's Residence"/>
    <x v="5"/>
    <s v="My desk lamp light bulb wasn't working and needed to be replaced."/>
    <d v="2023-09-21T00:00:00"/>
    <x v="0"/>
    <x v="0"/>
    <s v="I'm happy with how quickly the light bulb was replaced. Thank you!"/>
    <x v="0"/>
  </r>
  <r>
    <n v="86"/>
    <d v="2023-09-26T09:48:52"/>
    <s v="Mulan Hua"/>
    <m/>
    <s v="Denmark Hill Campus"/>
    <x v="0"/>
    <s v="Removal/disposal, bulk recycling"/>
    <d v="2023-09-19T00:00:00"/>
    <x v="0"/>
    <x v="0"/>
    <s v="Considering how busy it is at this time of year, this request was dealt with promptly and efficiently."/>
    <x v="0"/>
  </r>
  <r>
    <n v="87"/>
    <d v="2023-09-28T04:17:05"/>
    <s v="David Sergant"/>
    <s v="No"/>
    <s v="Strand Campus - all buildings, including Virginia Woolf &amp; Maughan Library"/>
    <x v="0"/>
    <s v="To put up a toilet roll dispenser "/>
    <d v="2023-09-26T00:00:00"/>
    <x v="0"/>
    <x v="3"/>
    <s v="Good service provided "/>
    <x v="4"/>
  </r>
  <r>
    <n v="88"/>
    <d v="2023-09-29T11:30:15"/>
    <s v="Fred Waltz"/>
    <m/>
    <s v="Strand Campus - all buildings, including Virginia Woolf &amp; Maughan Library"/>
    <x v="2"/>
    <s v="Defective office ceiling light"/>
    <d v="2023-09-28T00:00:00"/>
    <x v="0"/>
    <x v="0"/>
    <s v="Really fast solution and clear communication"/>
    <x v="0"/>
  </r>
  <r>
    <n v="89"/>
    <d v="2023-10-03T10:03:16"/>
    <s v="Jenny Birmingham"/>
    <s v="I don't think anyone did anything with these fire doors.  They still get stuck.  I only submitted the ticket yesterday, so I can't imagien anything has actually been done."/>
    <s v="Strand Campus - all buildings, including Virginia Woolf &amp; Maughan Library"/>
    <x v="2"/>
    <s v="I reported a number of fire doors that aren't closing properly in Macadam.  They won't function as fire doors in their current state, which is an obvious fire risk."/>
    <d v="2023-10-02T00:00:00"/>
    <x v="1"/>
    <x v="1"/>
    <s v="The Ticket Completed email does not say what what actually done.  Given the swiftness of the closure, I don't think anything was done."/>
    <x v="6"/>
  </r>
  <r>
    <n v="90"/>
    <d v="2023-10-04T15:54:23"/>
    <s v="Selma Grant"/>
    <m/>
    <s v="Waterloo Campus - Franklin Wilkins Building"/>
    <x v="2"/>
    <s v="Put up a small key lock in a newly furbished library area."/>
    <d v="2023-10-03T00:00:00"/>
    <x v="0"/>
    <x v="0"/>
    <s v="Lock was was put up with no fuss and left the area tidy especially important as this was a new refurbished library space."/>
    <x v="7"/>
  </r>
  <r>
    <n v="91"/>
    <d v="2023-10-06T11:25:29"/>
    <s v="Zane Chu"/>
    <s v="Yes"/>
    <s v="Guy's Campus - all buildings except New Hunts House"/>
    <x v="2"/>
    <s v="Leaking sink"/>
    <d v="2023-09-25T00:00:00"/>
    <x v="0"/>
    <x v="3"/>
    <s v="Good work, turnaround around a bit longer than expected"/>
    <x v="4"/>
  </r>
  <r>
    <n v="92"/>
    <d v="2023-10-09T10:35:40"/>
    <s v="Warren Tracey"/>
    <s v="Yes"/>
    <s v="Guy's Campus - all buildings except New Hunts House"/>
    <x v="2"/>
    <s v="Leaking sink"/>
    <d v="2023-10-03T00:00:00"/>
    <x v="0"/>
    <x v="0"/>
    <s v="Great job, fast turnaround"/>
    <x v="0"/>
  </r>
  <r>
    <n v="93"/>
    <d v="2023-10-10T16:08:28"/>
    <s v="Ron Tempernillo"/>
    <m/>
    <s v="A King's Residence"/>
    <x v="2"/>
    <s v="My toilet kept flushing because the flush button would not pop back out."/>
    <d v="2023-10-07T00:00:00"/>
    <x v="0"/>
    <x v="3"/>
    <s v="The issue was resolved very quickly. However, would appreciate if the worker had taken off his shoes before stepping into my room and toilet with them."/>
    <x v="7"/>
  </r>
  <r>
    <n v="94"/>
    <d v="2023-10-11T14:28:08"/>
    <s v="Peter Parker"/>
    <s v="Yes"/>
    <s v="Guy's Campus - all buildings except New Hunts House"/>
    <x v="2"/>
    <s v="Leak from sink"/>
    <d v="2023-10-04T00:00:00"/>
    <x v="0"/>
    <x v="0"/>
    <s v="Great turnaround, good work"/>
    <x v="0"/>
  </r>
  <r>
    <n v="95"/>
    <d v="2023-10-13T08:15:41"/>
    <s v="Ryan Burke"/>
    <s v="Yes"/>
    <s v="Guy's Campus - all buildings except New Hunts House"/>
    <x v="2"/>
    <s v="Broken tap"/>
    <d v="2023-10-05T00:00:00"/>
    <x v="0"/>
    <x v="0"/>
    <s v="Fantastic job, no complaints at all"/>
    <x v="0"/>
  </r>
  <r>
    <n v="97"/>
    <d v="2023-10-17T11:06:53"/>
    <s v="David Sergant"/>
    <s v="Yes"/>
    <s v="Guy's Campus - all buildings except New Hunts House"/>
    <x v="2"/>
    <s v="Leak from sink"/>
    <d v="2023-10-03T00:00:00"/>
    <x v="0"/>
    <x v="3"/>
    <s v="Good work, completed in reasonable time "/>
    <x v="7"/>
  </r>
  <r>
    <n v="98"/>
    <d v="2023-10-20T08:00:26"/>
    <s v="Elaine Hertz"/>
    <s v="Yes"/>
    <s v="Guy's Campus - all buildings except New Hunts House"/>
    <x v="2"/>
    <s v="Shower handle repair"/>
    <d v="2023-10-17T00:00:00"/>
    <x v="0"/>
    <x v="0"/>
    <s v="5 star service, great work"/>
    <x v="0"/>
  </r>
  <r>
    <n v="99"/>
    <d v="2023-10-24T12:20:31"/>
    <s v="Anthony Alan"/>
    <m/>
    <s v="Denmark Hill Campus"/>
    <x v="1"/>
    <s v="I had requested a stool for one of our lecturers to sit on as they present their lecture as they have Parkinson’s disease and find it difficult to stand for an hour. "/>
    <d v="2023-10-20T00:00:00"/>
    <x v="0"/>
    <x v="0"/>
    <s v="Stanley placed the stool inside the venue at the requested time, thanks very much."/>
    <x v="0"/>
  </r>
  <r>
    <n v="100"/>
    <d v="2023-10-25T07:53:08"/>
    <s v="Ha-Hei Long"/>
    <m/>
    <s v="Strand Campus - all buildings, including Virginia Woolf &amp; Maughan Library"/>
    <x v="2"/>
    <s v="The door could not be secured. It needed to be secure as soon as possible"/>
    <d v="2023-10-23T00:00:00"/>
    <x v="0"/>
    <x v="0"/>
    <s v="The maintenance team is always ready to provide high standard services"/>
    <x v="0"/>
  </r>
  <r>
    <n v="101"/>
    <d v="2023-10-26T13:38:39"/>
    <s v="Oliver Marks"/>
    <m/>
    <s v="Denmark Hill Campus"/>
    <x v="2"/>
    <s v="A/C unit not working"/>
    <d v="2023-10-25T00:00:00"/>
    <x v="0"/>
    <x v="0"/>
    <s v="The issue was fixed within a few hours of the request!"/>
    <x v="0"/>
  </r>
  <r>
    <n v="102"/>
    <d v="2023-10-27T10:20:17"/>
    <s v="Laila Stone"/>
    <s v="Yes"/>
    <s v="Guy's Campus - all buildings except New Hunts House"/>
    <x v="2"/>
    <s v="requested two fluorescent light tubes to be changed ibn the upper dissecting room "/>
    <d v="2023-10-19T00:00:00"/>
    <x v="1"/>
    <x v="1"/>
    <s v="rang helpdesk on 25th 10 2023 to check as to why job not completed to be told that it would take 5 working days to be completed.  It still has not been completed. "/>
    <x v="9"/>
  </r>
  <r>
    <n v="103"/>
    <d v="2023-10-30T11:53:31"/>
    <s v="Anthony Alan"/>
    <s v="not applicable"/>
    <s v="Guy's Campus - all buildings except New Hunts House"/>
    <x v="1"/>
    <s v="Removal of equipment for WEEE"/>
    <d v="2023-10-30T00:00:00"/>
    <x v="0"/>
    <x v="0"/>
    <s v="Pleased with the short length of time that this request was carried out."/>
    <x v="4"/>
  </r>
  <r>
    <n v="104"/>
    <d v="2023-10-31T11:13:48"/>
    <s v="Eli Bruce"/>
    <m/>
    <s v="Strand Campus - all buildings, including Virginia Woolf &amp; Maughan Library"/>
    <x v="1"/>
    <s v="I had requested four tables (to be placed outside the Bush House Auditorium at 12 noon) and a Bus stop sign (Bush House reception said that we need to request this in order to open the -1-level entrance door). This was for a student away day event at Bush House."/>
    <d v="2023-10-18T00:00:00"/>
    <x v="0"/>
    <x v="0"/>
    <s v="Chairs came with the tables which was much appreciated however we did not receive the Bus stop sign (this did not impact the event).."/>
    <x v="0"/>
  </r>
  <r>
    <n v="105"/>
    <d v="2023-11-01T09:32:19"/>
    <s v="Chanel Hubbard"/>
    <m/>
    <s v="Strand Campus - all buildings, including Virginia Woolf &amp; Maughan Library"/>
    <x v="2"/>
    <s v="It took 18 months to get some keys cut because it had been forwarded to E&amp;F Hard Services rather than Soft Services. It took dozens of emails and complaints for anyone to do anything about this."/>
    <d v="2022-03-22T00:00:00"/>
    <x v="1"/>
    <x v="4"/>
    <s v="This was because the ticket was pushed to the wrong destination, but the fact that it took so much complaining and reminding for anyone to notice is quite frankly insane"/>
    <x v="2"/>
  </r>
  <r>
    <n v="106"/>
    <d v="2023-11-03T11:21:37"/>
    <s v="Laila Stone"/>
    <m/>
    <s v="Strand Campus - all buildings, including Virginia Woolf &amp; Maughan Library"/>
    <x v="2"/>
    <s v="Installation of an access control panel for a door between a student area and a staff area"/>
    <d v="2023-07-07T00:00:00"/>
    <x v="0"/>
    <x v="0"/>
    <s v="Really great support from all colleagues involved in getting this sorted. "/>
    <x v="0"/>
  </r>
  <r>
    <n v="107"/>
    <d v="2023-11-07T11:24:51"/>
    <s v="Kat Wallace"/>
    <m/>
    <s v="Strand Campus - all buildings, including Virginia Woolf &amp; Maughan Library"/>
    <x v="2"/>
    <s v="Change of light"/>
    <d v="2023-11-06T00:00:00"/>
    <x v="0"/>
    <x v="0"/>
    <s v="Such a quick turnaround time. Thank you!"/>
    <x v="0"/>
  </r>
  <r>
    <n v="108"/>
    <d v="2023-11-09T12:53:45"/>
    <s v="Kim Li"/>
    <s v="Yes"/>
    <s v="Guy's Campus - New Hunts House"/>
    <x v="2"/>
    <s v="Security system team to rectify an access issue with all door of CUI and NHH"/>
    <d v="2023-11-08T00:00:00"/>
    <x v="0"/>
    <x v="3"/>
    <s v="would be good and to a degree a necessity to receive engineer comments on the Job completion notice as to what cause of the problem was and what had to be done to rectify it."/>
    <x v="0"/>
  </r>
  <r>
    <n v="109"/>
    <d v="2023-11-13T15:27:40"/>
    <s v="Anthony Alan"/>
    <s v="None"/>
    <s v="Strand Campus - all buildings, including Virginia Woolf &amp; Maughan Library"/>
    <x v="0"/>
    <s v="None"/>
    <d v="2023-11-10T00:00:00"/>
    <x v="0"/>
    <x v="0"/>
    <s v="The team were quick and efficient! Many thanks"/>
    <x v="0"/>
  </r>
  <r>
    <n v="110"/>
    <d v="2023-11-20T16:59:37"/>
    <s v="Anthony Alan"/>
    <s v="Yes"/>
    <s v="A King's Residence"/>
    <x v="5"/>
    <s v="Low water pressure (Residences)"/>
    <d v="2023-11-20T00:00:00"/>
    <x v="0"/>
    <x v="0"/>
    <s v="The service is really good and quickly fixed. "/>
    <x v="0"/>
  </r>
  <r>
    <n v="111"/>
    <d v="2023-11-23T15:45:49"/>
    <s v="Tracey Darren"/>
    <m/>
    <s v="Waterloo Campus - Franklin Wilkins Building"/>
    <x v="0"/>
    <s v="I asked for a water fountain to be cleaned urgently as it had vomit on it. "/>
    <d v="2022-12-15T00:00:00"/>
    <x v="1"/>
    <x v="4"/>
    <s v="It has taken just over 11 months to receive confirmation that a simple cleaning request relating to a issue of bodily substances on a water fountain has been actioned. Clearly, issue was actioned month ago but it is disturbing that the processes in place as so weak that it takes this long to action this.  It was something which needed to immediately on the day."/>
    <x v="8"/>
  </r>
  <r>
    <n v="112"/>
    <d v="2023-11-25T11:10:31"/>
    <s v="Sean Stewart"/>
    <m/>
    <s v="Denmark Hill Campus"/>
    <x v="1"/>
    <s v="I asked if someone can collect one confidential shredding bag from our room on Friday 24th November as I was on-campus. "/>
    <d v="2023-11-24T00:00:00"/>
    <x v="0"/>
    <x v="0"/>
    <s v="Nicholas from the IoPPN post team collected the bag in the afternoon which was much appreciated. Thank you!"/>
    <x v="0"/>
  </r>
  <r>
    <n v="113"/>
    <d v="2023-11-30T17:18:46"/>
    <s v="Fay Connors"/>
    <s v="the radiator in my room is still not working so it is incomplete work."/>
    <s v="Denmark Hill Campus"/>
    <x v="2"/>
    <s v="i am aware that the heating on the third floor WEC is not working but there has been almost no attempt to fix it or to provide us with portable heaters"/>
    <d v="2023-11-28T00:00:00"/>
    <x v="1"/>
    <x v="4"/>
    <s v="there was no service, no explanation by email, no change in heating. "/>
    <x v="8"/>
  </r>
  <r>
    <n v="114"/>
    <d v="2023-12-01T17:09:55"/>
    <s v="Sheila Oz"/>
    <m/>
    <s v="Guy's Campus - New Hunts House"/>
    <x v="2"/>
    <s v="Put up item (noticeboard/whiteboard/hooks etc)"/>
    <d v="2023-11-20T00:00:00"/>
    <x v="0"/>
    <x v="0"/>
    <s v="Great service! very please with the work! Thank you"/>
    <x v="0"/>
  </r>
  <r>
    <n v="115"/>
    <d v="2023-12-05T12:25:32"/>
    <s v="Erin Watts"/>
    <s v="Yes"/>
    <s v="Strand Campus - all buildings, including Virginia Woolf &amp; Maughan Library"/>
    <x v="2"/>
    <s v="Our offices had no heating for 2 weeks, and still got nothing. I received that my request is fixed even though the heating is still not sorted. Luckily a colleague from our faculty is chasing this, but the lack of comms from Estates is a bit disappointing."/>
    <d v="2023-11-28T00:00:00"/>
    <x v="1"/>
    <x v="4"/>
    <s v="I can understand some issues take longer to fix, but no point just ticking off a request as complete without any further communication."/>
    <x v="1"/>
  </r>
  <r>
    <n v="116"/>
    <d v="2023-12-05T16:13:21"/>
    <s v="Sheila Oz"/>
    <m/>
    <s v="Strand Campus - all buildings, including Virginia Woolf &amp; Maughan Library"/>
    <x v="0"/>
    <s v="N/A"/>
    <d v="2023-12-04T00:00:00"/>
    <x v="0"/>
    <x v="2"/>
    <s v="You described this job as &quot;Carry out extra clean to room&quot;. But why was it an *extra* clean to empty a waste basket that hadn't been emptied for over a month?"/>
    <x v="0"/>
  </r>
  <r>
    <n v="117"/>
    <d v="2023-12-07T14:12:18"/>
    <s v="Lorna Chills"/>
    <m/>
    <s v="Denmark Hill Campus"/>
    <x v="0"/>
    <s v="Clearing bulk recycling"/>
    <d v="2023-12-04T00:00:00"/>
    <x v="0"/>
    <x v="0"/>
    <m/>
    <x v="0"/>
  </r>
  <r>
    <n v="118"/>
    <d v="2023-12-09T16:48:52"/>
    <s v="Ben Wills"/>
    <m/>
    <s v="Guy's Campus - all buildings except New Hunts House"/>
    <x v="1"/>
    <s v="I asked at a short notice to set up a lecture theatre for students' debates providing 10 chiars in the room by 10 am on the 8th December"/>
    <d v="2023-12-07T00:00:00"/>
    <x v="0"/>
    <x v="0"/>
    <m/>
    <x v="0"/>
  </r>
  <r>
    <n v="119"/>
    <d v="2023-12-14T10:07:20"/>
    <s v="Chang Moon"/>
    <m/>
    <s v="Denmark Hill Campus"/>
    <x v="0"/>
    <s v="Bulk waste collection"/>
    <d v="2023-12-12T00:00:00"/>
    <x v="0"/>
    <x v="0"/>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4769EF-2244-4DC4-ABF4-2441877392A8}" name="PivotTable4" cacheId="6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5:L43" firstHeaderRow="1" firstDataRow="2" firstDataCol="1"/>
  <pivotFields count="12">
    <pivotField dataField="1" showAll="0"/>
    <pivotField numFmtId="14" showAll="0"/>
    <pivotField showAll="0"/>
    <pivotField showAll="0"/>
    <pivotField showAll="0"/>
    <pivotField axis="axisRow" showAll="0">
      <items count="7">
        <item x="0"/>
        <item x="2"/>
        <item x="4"/>
        <item x="5"/>
        <item x="3"/>
        <item x="1"/>
        <item t="default"/>
      </items>
    </pivotField>
    <pivotField showAll="0"/>
    <pivotField numFmtId="14" showAll="0"/>
    <pivotField showAll="0"/>
    <pivotField showAll="0">
      <items count="6">
        <item x="4"/>
        <item x="1"/>
        <item x="2"/>
        <item x="3"/>
        <item x="0"/>
        <item t="default"/>
      </items>
    </pivotField>
    <pivotField showAll="0"/>
    <pivotField axis="axisCol" showAll="0">
      <items count="11">
        <item x="8"/>
        <item x="1"/>
        <item x="6"/>
        <item x="9"/>
        <item x="2"/>
        <item x="5"/>
        <item x="3"/>
        <item x="4"/>
        <item x="7"/>
        <item x="0"/>
        <item t="default"/>
      </items>
    </pivotField>
  </pivotFields>
  <rowFields count="1">
    <field x="5"/>
  </rowFields>
  <rowItems count="7">
    <i>
      <x/>
    </i>
    <i>
      <x v="1"/>
    </i>
    <i>
      <x v="2"/>
    </i>
    <i>
      <x v="3"/>
    </i>
    <i>
      <x v="4"/>
    </i>
    <i>
      <x v="5"/>
    </i>
    <i t="grand">
      <x/>
    </i>
  </rowItems>
  <colFields count="1">
    <field x="11"/>
  </colFields>
  <colItems count="11">
    <i>
      <x/>
    </i>
    <i>
      <x v="1"/>
    </i>
    <i>
      <x v="2"/>
    </i>
    <i>
      <x v="3"/>
    </i>
    <i>
      <x v="4"/>
    </i>
    <i>
      <x v="5"/>
    </i>
    <i>
      <x v="6"/>
    </i>
    <i>
      <x v="7"/>
    </i>
    <i>
      <x v="8"/>
    </i>
    <i>
      <x v="9"/>
    </i>
    <i t="grand">
      <x/>
    </i>
  </colItems>
  <dataFields count="1">
    <dataField name="Count of ID"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1B9A72-9C3D-4BC2-9E4D-448B709C1417}" name="PivotTable3" cacheId="6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G11" firstHeaderRow="1" firstDataRow="2" firstDataCol="1"/>
  <pivotFields count="12">
    <pivotField dataField="1" showAll="0"/>
    <pivotField numFmtId="14" showAll="0"/>
    <pivotField showAll="0"/>
    <pivotField showAll="0"/>
    <pivotField showAll="0"/>
    <pivotField axis="axisRow" showAll="0">
      <items count="7">
        <item x="0"/>
        <item x="2"/>
        <item x="4"/>
        <item x="5"/>
        <item x="3"/>
        <item x="1"/>
        <item t="default"/>
      </items>
    </pivotField>
    <pivotField showAll="0"/>
    <pivotField numFmtId="14" showAll="0"/>
    <pivotField showAll="0"/>
    <pivotField axis="axisCol" showAll="0">
      <items count="6">
        <item x="4"/>
        <item x="1"/>
        <item x="2"/>
        <item x="3"/>
        <item x="0"/>
        <item t="default"/>
      </items>
    </pivotField>
    <pivotField showAll="0"/>
    <pivotField showAll="0"/>
  </pivotFields>
  <rowFields count="1">
    <field x="5"/>
  </rowFields>
  <rowItems count="7">
    <i>
      <x/>
    </i>
    <i>
      <x v="1"/>
    </i>
    <i>
      <x v="2"/>
    </i>
    <i>
      <x v="3"/>
    </i>
    <i>
      <x v="4"/>
    </i>
    <i>
      <x v="5"/>
    </i>
    <i t="grand">
      <x/>
    </i>
  </rowItems>
  <colFields count="1">
    <field x="9"/>
  </colFields>
  <colItems count="6">
    <i>
      <x/>
    </i>
    <i>
      <x v="1"/>
    </i>
    <i>
      <x v="2"/>
    </i>
    <i>
      <x v="3"/>
    </i>
    <i>
      <x v="4"/>
    </i>
    <i t="grand">
      <x/>
    </i>
  </colItems>
  <dataFields count="1">
    <dataField name="Count of ID"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7FC102C-31B0-42A6-8079-B1312DCD310E}" name="Table2" displayName="Table2" ref="A1:L118" totalsRowShown="0" headerRowDxfId="16" dataDxfId="14" headerRowBorderDxfId="15" tableBorderDxfId="13" totalsRowBorderDxfId="12">
  <autoFilter ref="A1:L118" xr:uid="{71CFEA49-F9B1-4B47-8955-FC28B1F216F5}"/>
  <tableColumns count="12">
    <tableColumn id="11" xr3:uid="{AE5A3FDC-80B7-4DA7-A107-17B44C3DEF34}" name="ID" dataDxfId="11"/>
    <tableColumn id="1" xr3:uid="{3CD39834-7C28-4776-B0A4-E72A17C9FAF8}" name="Start Time" dataDxfId="10"/>
    <tableColumn id="12" xr3:uid="{C6E58010-F849-4D8A-AED8-0446836E1030}" name="Name" dataDxfId="9"/>
    <tableColumn id="2" xr3:uid="{E9752067-798F-436D-ADAB-7A298252DBA9}" name="If your feedback requires further action from us, such as an incomplete piece of work, please provide your email address below so that we can get back to you." dataDxfId="8"/>
    <tableColumn id="3" xr3:uid="{BD28D8CC-DABA-4239-94C9-DFFFAB12EC9C}" name="Where was the work located?" dataDxfId="7"/>
    <tableColumn id="4" xr3:uid="{3764AB80-E340-47C9-BDF5-39050220F78D}" name="What type of work are you providing feedback on?" dataDxfId="6"/>
    <tableColumn id="5" xr3:uid="{B59AA64B-21BE-4996-A22D-EC5B81C4A1D4}" name="Please provide us with more information on what you requested our help with. This is especially helpful if you do not have a reference number, or if you selected &quot;other&quot; for question 4." dataDxfId="5"/>
    <tableColumn id="6" xr3:uid="{BBFD5BF7-4B05-4DBB-A5D5-0B405FD0E46E}" name="When did you make the request" dataDxfId="4"/>
    <tableColumn id="7" xr3:uid="{E0F7E6E7-F063-4279-AC53-0754984D353D}" name="Were you satisfied with the time it took to complete the work?" dataDxfId="3"/>
    <tableColumn id="8" xr3:uid="{A78A8F0C-2D62-485B-947D-1ECAAA8BE03D}" name="In your opinion, please rate out of 5 how committed our team were to delivering outstanding customer service?" dataDxfId="2"/>
    <tableColumn id="9" xr3:uid="{91B3A3F2-64D7-44D3-A138-773A81CA0D41}" name="Please provide us with any other feedback in your own words here." dataDxfId="1"/>
    <tableColumn id="10" xr3:uid="{3BEBAAF5-A9BF-4E24-BFE8-29F9DB9CFDFA}" name="How likely are you to recommend this service to others at King'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FEA49-F9B1-4B47-8955-FC28B1F216F5}">
  <dimension ref="A1:L118"/>
  <sheetViews>
    <sheetView topLeftCell="C1" workbookViewId="0">
      <pane ySplit="1" topLeftCell="A2" activePane="bottomLeft" state="frozen"/>
      <selection pane="bottomLeft" activeCell="L1" sqref="L1"/>
    </sheetView>
  </sheetViews>
  <sheetFormatPr defaultRowHeight="15" x14ac:dyDescent="0.25"/>
  <cols>
    <col min="2" max="2" width="12.42578125" customWidth="1"/>
    <col min="3" max="3" width="20" customWidth="1"/>
    <col min="4" max="4" width="12" customWidth="1"/>
    <col min="5" max="5" width="43.85546875" style="17" customWidth="1"/>
    <col min="6" max="6" width="45.5703125" style="17" customWidth="1"/>
    <col min="7" max="7" width="34.85546875" customWidth="1"/>
    <col min="8" max="8" width="13.85546875" customWidth="1"/>
    <col min="9" max="9" width="12.42578125" customWidth="1"/>
    <col min="10" max="10" width="12.5703125" customWidth="1"/>
    <col min="11" max="11" width="57.140625" style="17" customWidth="1"/>
    <col min="12" max="12" width="13.140625" customWidth="1"/>
  </cols>
  <sheetData>
    <row r="1" spans="1:12" ht="30" x14ac:dyDescent="0.25">
      <c r="A1" s="4" t="s">
        <v>0</v>
      </c>
      <c r="B1" s="5" t="s">
        <v>93</v>
      </c>
      <c r="C1" s="5" t="s">
        <v>1</v>
      </c>
      <c r="D1" s="4" t="s">
        <v>94</v>
      </c>
      <c r="E1" s="14" t="s">
        <v>2</v>
      </c>
      <c r="F1" s="14" t="s">
        <v>3</v>
      </c>
      <c r="G1" s="4" t="s">
        <v>4</v>
      </c>
      <c r="H1" s="6" t="s">
        <v>5</v>
      </c>
      <c r="I1" s="4" t="s">
        <v>6</v>
      </c>
      <c r="J1" s="4" t="s">
        <v>7</v>
      </c>
      <c r="K1" s="14" t="s">
        <v>8</v>
      </c>
      <c r="L1" s="4" t="s">
        <v>9</v>
      </c>
    </row>
    <row r="2" spans="1:12" ht="30" x14ac:dyDescent="0.25">
      <c r="A2" s="7">
        <v>1</v>
      </c>
      <c r="B2" s="8">
        <v>44930.361701388887</v>
      </c>
      <c r="C2" s="2" t="s">
        <v>10</v>
      </c>
      <c r="D2" s="9"/>
      <c r="E2" s="15" t="s">
        <v>75</v>
      </c>
      <c r="F2" s="16" t="s">
        <v>36</v>
      </c>
      <c r="G2" s="9" t="s">
        <v>97</v>
      </c>
      <c r="H2" s="11">
        <v>44914</v>
      </c>
      <c r="I2" s="9" t="s">
        <v>17</v>
      </c>
      <c r="J2" s="9">
        <v>5</v>
      </c>
      <c r="K2" s="16" t="s">
        <v>98</v>
      </c>
      <c r="L2" s="9">
        <v>10</v>
      </c>
    </row>
    <row r="3" spans="1:12" ht="45" x14ac:dyDescent="0.25">
      <c r="A3" s="10">
        <v>2</v>
      </c>
      <c r="B3" s="8">
        <v>44932.440532407411</v>
      </c>
      <c r="C3" s="1" t="s">
        <v>15</v>
      </c>
      <c r="D3" s="9"/>
      <c r="E3" s="15" t="s">
        <v>100</v>
      </c>
      <c r="F3" s="16" t="s">
        <v>99</v>
      </c>
      <c r="G3" s="9" t="s">
        <v>101</v>
      </c>
      <c r="H3" s="11">
        <v>44931</v>
      </c>
      <c r="I3" s="9" t="s">
        <v>17</v>
      </c>
      <c r="J3" s="9">
        <v>5</v>
      </c>
      <c r="K3" s="16" t="s">
        <v>102</v>
      </c>
      <c r="L3" s="9">
        <v>10</v>
      </c>
    </row>
    <row r="4" spans="1:12" ht="45" x14ac:dyDescent="0.25">
      <c r="A4" s="10">
        <v>3</v>
      </c>
      <c r="B4" s="8">
        <v>44939.531990740739</v>
      </c>
      <c r="C4" t="s">
        <v>18</v>
      </c>
      <c r="D4" s="9"/>
      <c r="E4" s="16" t="s">
        <v>33</v>
      </c>
      <c r="F4" s="16" t="s">
        <v>99</v>
      </c>
      <c r="G4" s="9" t="s">
        <v>103</v>
      </c>
      <c r="H4" s="11">
        <v>44938</v>
      </c>
      <c r="I4" s="9" t="s">
        <v>17</v>
      </c>
      <c r="J4" s="9">
        <v>5</v>
      </c>
      <c r="K4" s="16" t="s">
        <v>104</v>
      </c>
      <c r="L4" s="9">
        <v>10</v>
      </c>
    </row>
    <row r="5" spans="1:12" ht="45" x14ac:dyDescent="0.25">
      <c r="A5" s="7">
        <v>4</v>
      </c>
      <c r="B5" s="8">
        <v>44945.486180555556</v>
      </c>
      <c r="C5" t="s">
        <v>19</v>
      </c>
      <c r="D5" s="9"/>
      <c r="E5" s="15" t="s">
        <v>75</v>
      </c>
      <c r="F5" s="16" t="s">
        <v>95</v>
      </c>
      <c r="G5" s="9" t="s">
        <v>105</v>
      </c>
      <c r="H5" s="11">
        <v>44943</v>
      </c>
      <c r="I5" s="9" t="s">
        <v>17</v>
      </c>
      <c r="J5" s="9">
        <v>5</v>
      </c>
      <c r="K5" s="16" t="s">
        <v>106</v>
      </c>
      <c r="L5" s="9">
        <v>10</v>
      </c>
    </row>
    <row r="6" spans="1:12" ht="45" x14ac:dyDescent="0.25">
      <c r="A6" s="10">
        <v>5</v>
      </c>
      <c r="B6" s="8">
        <v>44946.629189814812</v>
      </c>
      <c r="C6" t="s">
        <v>21</v>
      </c>
      <c r="D6" s="9"/>
      <c r="E6" s="16" t="s">
        <v>11</v>
      </c>
      <c r="F6" s="16" t="s">
        <v>99</v>
      </c>
      <c r="G6" s="9" t="s">
        <v>108</v>
      </c>
      <c r="H6" s="11">
        <v>44945</v>
      </c>
      <c r="I6" s="9" t="s">
        <v>17</v>
      </c>
      <c r="J6" s="9">
        <v>5</v>
      </c>
      <c r="K6" s="16"/>
      <c r="L6" s="9">
        <v>10</v>
      </c>
    </row>
    <row r="7" spans="1:12" ht="30" x14ac:dyDescent="0.25">
      <c r="A7" s="10">
        <v>6</v>
      </c>
      <c r="B7" s="8">
        <v>44949.649317129632</v>
      </c>
      <c r="C7" t="s">
        <v>22</v>
      </c>
      <c r="D7" s="9"/>
      <c r="E7" s="16" t="s">
        <v>11</v>
      </c>
      <c r="F7" s="16" t="s">
        <v>95</v>
      </c>
      <c r="G7" s="9" t="s">
        <v>12</v>
      </c>
      <c r="H7" s="11">
        <v>44942</v>
      </c>
      <c r="I7" s="9" t="s">
        <v>13</v>
      </c>
      <c r="J7" s="9">
        <v>2</v>
      </c>
      <c r="K7" s="16" t="s">
        <v>14</v>
      </c>
      <c r="L7" s="9">
        <v>2</v>
      </c>
    </row>
    <row r="8" spans="1:12" ht="30" x14ac:dyDescent="0.25">
      <c r="A8" s="7">
        <v>7</v>
      </c>
      <c r="B8" s="8">
        <v>44950.888622685183</v>
      </c>
      <c r="C8" t="s">
        <v>24</v>
      </c>
      <c r="D8" s="9"/>
      <c r="E8" s="15" t="s">
        <v>75</v>
      </c>
      <c r="F8" s="16" t="s">
        <v>95</v>
      </c>
      <c r="G8" s="9" t="s">
        <v>109</v>
      </c>
      <c r="H8" s="11">
        <v>45266</v>
      </c>
      <c r="I8" s="9" t="s">
        <v>13</v>
      </c>
      <c r="J8" s="9">
        <v>2</v>
      </c>
      <c r="K8" s="16" t="s">
        <v>110</v>
      </c>
      <c r="L8" s="9">
        <v>5</v>
      </c>
    </row>
    <row r="9" spans="1:12" ht="30" x14ac:dyDescent="0.25">
      <c r="A9" s="10">
        <v>8</v>
      </c>
      <c r="B9" s="8">
        <v>44951.613275462965</v>
      </c>
      <c r="C9" s="1" t="s">
        <v>25</v>
      </c>
      <c r="D9" s="9"/>
      <c r="E9" s="16" t="s">
        <v>11</v>
      </c>
      <c r="F9" s="16" t="s">
        <v>95</v>
      </c>
      <c r="G9" s="9" t="s">
        <v>111</v>
      </c>
      <c r="H9" s="11">
        <v>44946</v>
      </c>
      <c r="I9" s="9" t="s">
        <v>13</v>
      </c>
      <c r="J9" s="9">
        <v>5</v>
      </c>
      <c r="K9" s="16" t="s">
        <v>112</v>
      </c>
      <c r="L9" s="9">
        <v>10</v>
      </c>
    </row>
    <row r="10" spans="1:12" ht="30" x14ac:dyDescent="0.25">
      <c r="A10" s="10">
        <v>9</v>
      </c>
      <c r="B10" s="8">
        <v>44952.620219907411</v>
      </c>
      <c r="C10" t="s">
        <v>27</v>
      </c>
      <c r="D10" s="9" t="s">
        <v>17</v>
      </c>
      <c r="E10" s="15" t="s">
        <v>75</v>
      </c>
      <c r="F10" s="16" t="s">
        <v>95</v>
      </c>
      <c r="G10" s="9" t="s">
        <v>113</v>
      </c>
      <c r="H10" s="11">
        <v>44950</v>
      </c>
      <c r="I10" s="9" t="s">
        <v>17</v>
      </c>
      <c r="J10" s="9">
        <v>3</v>
      </c>
      <c r="K10" s="15"/>
      <c r="L10" s="9">
        <v>7</v>
      </c>
    </row>
    <row r="11" spans="1:12" ht="30" x14ac:dyDescent="0.25">
      <c r="A11" s="7">
        <v>10</v>
      </c>
      <c r="B11" s="8">
        <v>44956.390497685185</v>
      </c>
      <c r="C11" t="s">
        <v>28</v>
      </c>
      <c r="D11" s="9" t="s">
        <v>114</v>
      </c>
      <c r="E11" s="15" t="s">
        <v>75</v>
      </c>
      <c r="F11" s="16" t="s">
        <v>95</v>
      </c>
      <c r="G11" s="9" t="s">
        <v>115</v>
      </c>
      <c r="H11" s="11">
        <v>44950</v>
      </c>
      <c r="I11" s="9" t="s">
        <v>17</v>
      </c>
      <c r="J11" s="9">
        <v>5</v>
      </c>
      <c r="K11" s="16" t="s">
        <v>116</v>
      </c>
      <c r="L11" s="9">
        <v>10</v>
      </c>
    </row>
    <row r="12" spans="1:12" ht="30" x14ac:dyDescent="0.25">
      <c r="A12" s="10">
        <v>11</v>
      </c>
      <c r="B12" s="8">
        <v>44958.593263888892</v>
      </c>
      <c r="C12" t="s">
        <v>30</v>
      </c>
      <c r="D12" s="9" t="s">
        <v>13</v>
      </c>
      <c r="E12" s="15" t="s">
        <v>75</v>
      </c>
      <c r="F12" s="16" t="s">
        <v>95</v>
      </c>
      <c r="G12" s="9" t="s">
        <v>117</v>
      </c>
      <c r="H12" s="11">
        <v>44958</v>
      </c>
      <c r="I12" s="9" t="s">
        <v>17</v>
      </c>
      <c r="J12" s="9">
        <v>5</v>
      </c>
      <c r="K12" s="16" t="s">
        <v>118</v>
      </c>
      <c r="L12" s="9">
        <v>10</v>
      </c>
    </row>
    <row r="13" spans="1:12" ht="45" x14ac:dyDescent="0.25">
      <c r="A13" s="10">
        <v>12</v>
      </c>
      <c r="B13" s="8">
        <v>44959.41983796296</v>
      </c>
      <c r="C13" t="s">
        <v>31</v>
      </c>
      <c r="D13" s="9" t="s">
        <v>119</v>
      </c>
      <c r="E13" s="16" t="s">
        <v>11</v>
      </c>
      <c r="F13" s="16" t="s">
        <v>99</v>
      </c>
      <c r="G13" s="9" t="s">
        <v>120</v>
      </c>
      <c r="H13" s="11">
        <v>44957</v>
      </c>
      <c r="I13" s="9" t="s">
        <v>17</v>
      </c>
      <c r="J13" s="9">
        <v>5</v>
      </c>
      <c r="K13" s="16" t="s">
        <v>121</v>
      </c>
      <c r="L13" s="9">
        <v>10</v>
      </c>
    </row>
    <row r="14" spans="1:12" ht="90" x14ac:dyDescent="0.25">
      <c r="A14" s="7">
        <v>13</v>
      </c>
      <c r="B14" s="8">
        <v>44959.586273148147</v>
      </c>
      <c r="C14" t="s">
        <v>32</v>
      </c>
      <c r="D14" s="9"/>
      <c r="E14" s="15" t="s">
        <v>75</v>
      </c>
      <c r="F14" s="16" t="s">
        <v>95</v>
      </c>
      <c r="G14" s="9" t="s">
        <v>122</v>
      </c>
      <c r="H14" s="11">
        <v>44935</v>
      </c>
      <c r="I14" s="9" t="s">
        <v>17</v>
      </c>
      <c r="J14" s="9">
        <v>5</v>
      </c>
      <c r="K14" s="16" t="s">
        <v>123</v>
      </c>
      <c r="L14" s="9">
        <v>8</v>
      </c>
    </row>
    <row r="15" spans="1:12" ht="45" x14ac:dyDescent="0.25">
      <c r="A15" s="10">
        <v>14</v>
      </c>
      <c r="B15" s="8">
        <v>44960.472199074073</v>
      </c>
      <c r="C15" t="s">
        <v>34</v>
      </c>
      <c r="D15" s="9"/>
      <c r="E15" s="16" t="s">
        <v>11</v>
      </c>
      <c r="F15" s="16" t="s">
        <v>99</v>
      </c>
      <c r="G15" s="9" t="s">
        <v>124</v>
      </c>
      <c r="H15" s="11">
        <v>44956</v>
      </c>
      <c r="I15" s="9" t="s">
        <v>17</v>
      </c>
      <c r="J15" s="9">
        <v>4</v>
      </c>
      <c r="K15" s="16"/>
      <c r="L15" s="9">
        <v>7</v>
      </c>
    </row>
    <row r="16" spans="1:12" ht="45" x14ac:dyDescent="0.25">
      <c r="A16" s="10">
        <v>15</v>
      </c>
      <c r="B16" s="8">
        <v>44964.657754629632</v>
      </c>
      <c r="C16" t="s">
        <v>37</v>
      </c>
      <c r="D16" s="9"/>
      <c r="E16" s="15" t="s">
        <v>75</v>
      </c>
      <c r="F16" s="16" t="s">
        <v>95</v>
      </c>
      <c r="G16" s="9" t="s">
        <v>125</v>
      </c>
      <c r="H16" s="11">
        <v>44964</v>
      </c>
      <c r="I16" s="9" t="s">
        <v>17</v>
      </c>
      <c r="J16" s="9">
        <v>5</v>
      </c>
      <c r="K16" s="16" t="s">
        <v>126</v>
      </c>
      <c r="L16" s="9">
        <v>10</v>
      </c>
    </row>
    <row r="17" spans="1:12" ht="30" x14ac:dyDescent="0.25">
      <c r="A17" s="7">
        <v>16</v>
      </c>
      <c r="B17" s="8">
        <v>44964.679837962962</v>
      </c>
      <c r="C17" t="s">
        <v>38</v>
      </c>
      <c r="D17" s="9" t="s">
        <v>17</v>
      </c>
      <c r="E17" s="16" t="s">
        <v>11</v>
      </c>
      <c r="F17" s="16" t="s">
        <v>95</v>
      </c>
      <c r="G17" s="9" t="s">
        <v>127</v>
      </c>
      <c r="H17" s="11">
        <v>44889</v>
      </c>
      <c r="I17" s="9" t="s">
        <v>17</v>
      </c>
      <c r="J17" s="9">
        <v>3</v>
      </c>
      <c r="K17" s="16" t="s">
        <v>128</v>
      </c>
      <c r="L17" s="9">
        <v>7</v>
      </c>
    </row>
    <row r="18" spans="1:12" ht="45" x14ac:dyDescent="0.25">
      <c r="A18" s="10">
        <v>17</v>
      </c>
      <c r="B18" s="8">
        <v>44965.590300925927</v>
      </c>
      <c r="C18" t="s">
        <v>24</v>
      </c>
      <c r="D18" s="9"/>
      <c r="E18" s="15" t="s">
        <v>100</v>
      </c>
      <c r="F18" s="16" t="s">
        <v>99</v>
      </c>
      <c r="G18" s="9" t="s">
        <v>129</v>
      </c>
      <c r="H18" s="11">
        <v>44901</v>
      </c>
      <c r="I18" s="9" t="s">
        <v>13</v>
      </c>
      <c r="J18" s="9">
        <v>3</v>
      </c>
      <c r="K18" s="16" t="s">
        <v>130</v>
      </c>
      <c r="L18" s="9">
        <v>7</v>
      </c>
    </row>
    <row r="19" spans="1:12" ht="60" x14ac:dyDescent="0.25">
      <c r="A19" s="10">
        <v>18</v>
      </c>
      <c r="B19" s="8">
        <v>44966.523136574076</v>
      </c>
      <c r="C19" t="s">
        <v>40</v>
      </c>
      <c r="D19" s="9" t="s">
        <v>17</v>
      </c>
      <c r="E19" s="15" t="s">
        <v>75</v>
      </c>
      <c r="F19" s="16" t="s">
        <v>95</v>
      </c>
      <c r="G19" s="9" t="s">
        <v>131</v>
      </c>
      <c r="H19" s="11">
        <v>44887</v>
      </c>
      <c r="I19" s="9" t="s">
        <v>13</v>
      </c>
      <c r="J19" s="9">
        <v>3</v>
      </c>
      <c r="K19" s="16" t="s">
        <v>132</v>
      </c>
      <c r="L19" s="9">
        <v>6</v>
      </c>
    </row>
    <row r="20" spans="1:12" ht="30" x14ac:dyDescent="0.25">
      <c r="A20" s="7">
        <v>19</v>
      </c>
      <c r="B20" s="8">
        <v>44971.618680555555</v>
      </c>
      <c r="C20" t="s">
        <v>38</v>
      </c>
      <c r="D20" s="9"/>
      <c r="E20" s="16" t="s">
        <v>33</v>
      </c>
      <c r="F20" s="16" t="s">
        <v>95</v>
      </c>
      <c r="G20" s="9" t="s">
        <v>107</v>
      </c>
      <c r="H20" s="11">
        <v>44964</v>
      </c>
      <c r="I20" s="9" t="s">
        <v>17</v>
      </c>
      <c r="J20" s="9">
        <v>5</v>
      </c>
      <c r="K20" s="16"/>
      <c r="L20" s="9">
        <v>10</v>
      </c>
    </row>
    <row r="21" spans="1:12" ht="30" x14ac:dyDescent="0.25">
      <c r="A21" s="10">
        <v>20</v>
      </c>
      <c r="B21" s="8">
        <v>44973.513483796298</v>
      </c>
      <c r="C21" t="s">
        <v>41</v>
      </c>
      <c r="D21" s="9"/>
      <c r="E21" s="16" t="s">
        <v>33</v>
      </c>
      <c r="F21" s="16" t="s">
        <v>95</v>
      </c>
      <c r="G21" s="9" t="s">
        <v>133</v>
      </c>
      <c r="H21" s="11">
        <v>44971</v>
      </c>
      <c r="I21" s="9" t="s">
        <v>17</v>
      </c>
      <c r="J21" s="9">
        <v>4</v>
      </c>
      <c r="K21" s="16" t="s">
        <v>134</v>
      </c>
      <c r="L21" s="9">
        <v>8</v>
      </c>
    </row>
    <row r="22" spans="1:12" ht="45" x14ac:dyDescent="0.25">
      <c r="A22" s="10">
        <v>21</v>
      </c>
      <c r="B22" s="8">
        <v>44974.544456018521</v>
      </c>
      <c r="C22" t="s">
        <v>42</v>
      </c>
      <c r="D22" s="9"/>
      <c r="E22" s="15" t="s">
        <v>75</v>
      </c>
      <c r="F22" s="16" t="s">
        <v>99</v>
      </c>
      <c r="G22" s="9" t="s">
        <v>135</v>
      </c>
      <c r="H22" s="11">
        <v>44971</v>
      </c>
      <c r="I22" s="9" t="s">
        <v>17</v>
      </c>
      <c r="J22" s="9">
        <v>5</v>
      </c>
      <c r="K22" s="16" t="s">
        <v>136</v>
      </c>
      <c r="L22" s="9">
        <v>10</v>
      </c>
    </row>
    <row r="23" spans="1:12" ht="45" x14ac:dyDescent="0.25">
      <c r="A23" s="7">
        <v>22</v>
      </c>
      <c r="B23" s="8">
        <v>44978.529178240744</v>
      </c>
      <c r="C23" t="s">
        <v>43</v>
      </c>
      <c r="D23" s="9"/>
      <c r="E23" s="16" t="s">
        <v>11</v>
      </c>
      <c r="F23" s="16" t="s">
        <v>99</v>
      </c>
      <c r="G23" s="9" t="s">
        <v>137</v>
      </c>
      <c r="H23" s="11">
        <v>44964</v>
      </c>
      <c r="I23" s="9" t="s">
        <v>17</v>
      </c>
      <c r="J23" s="9">
        <v>5</v>
      </c>
      <c r="K23" s="16"/>
      <c r="L23" s="9">
        <v>10</v>
      </c>
    </row>
    <row r="24" spans="1:12" ht="90" x14ac:dyDescent="0.25">
      <c r="A24" s="10">
        <v>23</v>
      </c>
      <c r="B24" s="8">
        <v>44978.63758101852</v>
      </c>
      <c r="C24" t="s">
        <v>38</v>
      </c>
      <c r="D24" s="9"/>
      <c r="E24" s="15" t="s">
        <v>75</v>
      </c>
      <c r="F24" s="16" t="s">
        <v>95</v>
      </c>
      <c r="G24" s="9" t="s">
        <v>138</v>
      </c>
      <c r="H24" s="11">
        <v>44960</v>
      </c>
      <c r="I24" s="9" t="s">
        <v>17</v>
      </c>
      <c r="J24" s="9">
        <v>5</v>
      </c>
      <c r="K24" s="16" t="s">
        <v>139</v>
      </c>
      <c r="L24" s="9">
        <v>10</v>
      </c>
    </row>
    <row r="25" spans="1:12" ht="30" x14ac:dyDescent="0.25">
      <c r="A25" s="10">
        <v>24</v>
      </c>
      <c r="B25" s="8">
        <v>44985.403310185182</v>
      </c>
      <c r="C25" t="s">
        <v>44</v>
      </c>
      <c r="D25" s="9" t="s">
        <v>17</v>
      </c>
      <c r="E25" s="15" t="s">
        <v>75</v>
      </c>
      <c r="F25" s="16" t="s">
        <v>95</v>
      </c>
      <c r="G25" s="9" t="s">
        <v>140</v>
      </c>
      <c r="H25" s="11">
        <v>44963</v>
      </c>
      <c r="I25" s="9" t="s">
        <v>13</v>
      </c>
      <c r="J25" s="9">
        <v>1</v>
      </c>
      <c r="K25" s="16" t="s">
        <v>141</v>
      </c>
      <c r="L25" s="9">
        <v>3</v>
      </c>
    </row>
    <row r="26" spans="1:12" ht="30" x14ac:dyDescent="0.25">
      <c r="A26" s="7">
        <v>25</v>
      </c>
      <c r="B26" s="8">
        <v>44986.489062499997</v>
      </c>
      <c r="C26" t="s">
        <v>45</v>
      </c>
      <c r="D26" s="9"/>
      <c r="E26" s="15" t="s">
        <v>100</v>
      </c>
      <c r="F26" s="16" t="s">
        <v>36</v>
      </c>
      <c r="G26" s="9" t="s">
        <v>142</v>
      </c>
      <c r="H26" s="11">
        <v>44985</v>
      </c>
      <c r="I26" s="9" t="s">
        <v>17</v>
      </c>
      <c r="J26" s="9">
        <v>5</v>
      </c>
      <c r="K26" s="16" t="s">
        <v>143</v>
      </c>
      <c r="L26" s="9">
        <v>10</v>
      </c>
    </row>
    <row r="27" spans="1:12" ht="30" x14ac:dyDescent="0.25">
      <c r="A27" s="10">
        <v>26</v>
      </c>
      <c r="B27" s="8">
        <v>44987.600543981483</v>
      </c>
      <c r="C27" t="s">
        <v>43</v>
      </c>
      <c r="D27" s="9" t="s">
        <v>17</v>
      </c>
      <c r="E27" s="16" t="s">
        <v>11</v>
      </c>
      <c r="F27" s="16" t="s">
        <v>95</v>
      </c>
      <c r="G27" s="9" t="s">
        <v>144</v>
      </c>
      <c r="H27" s="11">
        <v>44985</v>
      </c>
      <c r="I27" s="9" t="s">
        <v>17</v>
      </c>
      <c r="J27" s="9">
        <v>5</v>
      </c>
      <c r="K27" s="16" t="s">
        <v>145</v>
      </c>
      <c r="L27" s="9">
        <v>8</v>
      </c>
    </row>
    <row r="28" spans="1:12" ht="75" x14ac:dyDescent="0.25">
      <c r="A28" s="10">
        <v>27</v>
      </c>
      <c r="B28" s="8">
        <v>44992.711331018516</v>
      </c>
      <c r="C28" t="s">
        <v>46</v>
      </c>
      <c r="D28" s="9"/>
      <c r="E28" s="15" t="s">
        <v>75</v>
      </c>
      <c r="F28" s="16" t="s">
        <v>95</v>
      </c>
      <c r="G28" s="9" t="s">
        <v>146</v>
      </c>
      <c r="H28" s="11">
        <v>44987</v>
      </c>
      <c r="I28" s="9" t="s">
        <v>17</v>
      </c>
      <c r="J28" s="9">
        <v>5</v>
      </c>
      <c r="K28" s="16" t="s">
        <v>147</v>
      </c>
      <c r="L28" s="9">
        <v>10</v>
      </c>
    </row>
    <row r="29" spans="1:12" ht="45" x14ac:dyDescent="0.25">
      <c r="A29" s="7">
        <v>28</v>
      </c>
      <c r="B29" s="8">
        <v>44993.431539351855</v>
      </c>
      <c r="C29" t="s">
        <v>47</v>
      </c>
      <c r="D29" s="9"/>
      <c r="E29" s="15" t="s">
        <v>75</v>
      </c>
      <c r="F29" s="16" t="s">
        <v>99</v>
      </c>
      <c r="G29" s="9" t="s">
        <v>148</v>
      </c>
      <c r="H29" s="11">
        <v>44991</v>
      </c>
      <c r="I29" s="9" t="s">
        <v>17</v>
      </c>
      <c r="J29" s="9">
        <v>5</v>
      </c>
      <c r="K29" s="16" t="s">
        <v>149</v>
      </c>
      <c r="L29" s="9">
        <v>10</v>
      </c>
    </row>
    <row r="30" spans="1:12" ht="90" x14ac:dyDescent="0.25">
      <c r="A30" s="10">
        <v>29</v>
      </c>
      <c r="B30" s="8">
        <v>44999.542071759257</v>
      </c>
      <c r="C30" t="s">
        <v>38</v>
      </c>
      <c r="D30" s="9"/>
      <c r="E30" s="16" t="s">
        <v>11</v>
      </c>
      <c r="F30" s="16" t="s">
        <v>95</v>
      </c>
      <c r="G30" s="9" t="s">
        <v>150</v>
      </c>
      <c r="H30" s="11">
        <v>44994</v>
      </c>
      <c r="I30" s="9" t="s">
        <v>17</v>
      </c>
      <c r="J30" s="9">
        <v>4</v>
      </c>
      <c r="K30" s="16" t="s">
        <v>151</v>
      </c>
      <c r="L30" s="9">
        <v>9</v>
      </c>
    </row>
    <row r="31" spans="1:12" x14ac:dyDescent="0.25">
      <c r="A31" s="10">
        <v>30</v>
      </c>
      <c r="B31" s="8">
        <v>45001.437222222223</v>
      </c>
      <c r="C31" t="s">
        <v>48</v>
      </c>
      <c r="D31" s="9"/>
      <c r="E31" s="16" t="s">
        <v>33</v>
      </c>
      <c r="F31" s="16" t="s">
        <v>36</v>
      </c>
      <c r="G31" s="9" t="s">
        <v>152</v>
      </c>
      <c r="H31" s="11">
        <v>45000</v>
      </c>
      <c r="I31" s="9" t="s">
        <v>17</v>
      </c>
      <c r="J31" s="9">
        <v>5</v>
      </c>
      <c r="K31" s="16" t="s">
        <v>153</v>
      </c>
      <c r="L31" s="9">
        <v>9</v>
      </c>
    </row>
    <row r="32" spans="1:12" ht="30" x14ac:dyDescent="0.25">
      <c r="A32" s="10">
        <v>32</v>
      </c>
      <c r="B32" s="8">
        <v>45001.580891203703</v>
      </c>
      <c r="C32" t="s">
        <v>49</v>
      </c>
      <c r="D32" s="9"/>
      <c r="E32" s="16" t="s">
        <v>11</v>
      </c>
      <c r="F32" s="16" t="s">
        <v>95</v>
      </c>
      <c r="G32" s="9" t="s">
        <v>155</v>
      </c>
      <c r="H32" s="11">
        <v>44980</v>
      </c>
      <c r="I32" s="9" t="s">
        <v>17</v>
      </c>
      <c r="J32" s="9">
        <v>5</v>
      </c>
      <c r="K32" s="16" t="s">
        <v>156</v>
      </c>
      <c r="L32" s="9">
        <v>10</v>
      </c>
    </row>
    <row r="33" spans="1:12" ht="30" x14ac:dyDescent="0.25">
      <c r="A33" s="10">
        <v>33</v>
      </c>
      <c r="B33" s="8">
        <v>45005.464884259258</v>
      </c>
      <c r="C33" t="s">
        <v>50</v>
      </c>
      <c r="D33" s="9"/>
      <c r="E33" s="15" t="s">
        <v>75</v>
      </c>
      <c r="F33" s="16" t="s">
        <v>36</v>
      </c>
      <c r="G33" s="9" t="s">
        <v>157</v>
      </c>
      <c r="H33" s="11">
        <v>45001</v>
      </c>
      <c r="I33" s="9" t="s">
        <v>17</v>
      </c>
      <c r="J33" s="9">
        <v>4</v>
      </c>
      <c r="K33" s="16" t="s">
        <v>158</v>
      </c>
      <c r="L33" s="9">
        <v>9</v>
      </c>
    </row>
    <row r="34" spans="1:12" ht="60" x14ac:dyDescent="0.25">
      <c r="A34" s="7">
        <v>34</v>
      </c>
      <c r="B34" s="8">
        <v>45012.82440972222</v>
      </c>
      <c r="C34" t="s">
        <v>52</v>
      </c>
      <c r="D34" s="9"/>
      <c r="E34" s="16" t="s">
        <v>33</v>
      </c>
      <c r="F34" s="16" t="s">
        <v>95</v>
      </c>
      <c r="G34" s="9" t="s">
        <v>159</v>
      </c>
      <c r="H34" s="11">
        <v>44855</v>
      </c>
      <c r="I34" s="9" t="s">
        <v>17</v>
      </c>
      <c r="J34" s="9">
        <v>5</v>
      </c>
      <c r="K34" s="16" t="s">
        <v>160</v>
      </c>
      <c r="L34" s="9">
        <v>10</v>
      </c>
    </row>
    <row r="35" spans="1:12" ht="30" x14ac:dyDescent="0.25">
      <c r="A35" s="10">
        <v>35</v>
      </c>
      <c r="B35" s="8">
        <v>45013.71056712963</v>
      </c>
      <c r="C35" t="s">
        <v>53</v>
      </c>
      <c r="D35" s="9"/>
      <c r="E35" s="15" t="s">
        <v>100</v>
      </c>
      <c r="F35" s="16" t="s">
        <v>36</v>
      </c>
      <c r="G35" s="9" t="s">
        <v>161</v>
      </c>
      <c r="H35" s="11">
        <v>45008</v>
      </c>
      <c r="I35" s="9" t="s">
        <v>17</v>
      </c>
      <c r="J35" s="9">
        <v>5</v>
      </c>
      <c r="K35" s="16" t="s">
        <v>162</v>
      </c>
      <c r="L35" s="9">
        <v>10</v>
      </c>
    </row>
    <row r="36" spans="1:12" ht="30" x14ac:dyDescent="0.25">
      <c r="A36" s="10">
        <v>36</v>
      </c>
      <c r="B36" s="8">
        <v>45014.759837962964</v>
      </c>
      <c r="C36" t="s">
        <v>52</v>
      </c>
      <c r="D36" s="9"/>
      <c r="E36" s="16" t="s">
        <v>11</v>
      </c>
      <c r="F36" s="16" t="s">
        <v>36</v>
      </c>
      <c r="G36" s="9" t="s">
        <v>163</v>
      </c>
      <c r="H36" s="11">
        <v>45013</v>
      </c>
      <c r="I36" s="9" t="s">
        <v>17</v>
      </c>
      <c r="J36" s="9">
        <v>4</v>
      </c>
      <c r="K36" s="16" t="s">
        <v>164</v>
      </c>
      <c r="L36" s="9">
        <v>8</v>
      </c>
    </row>
    <row r="37" spans="1:12" ht="105" x14ac:dyDescent="0.25">
      <c r="A37" s="7">
        <v>37</v>
      </c>
      <c r="B37" s="8">
        <v>45015.342569444445</v>
      </c>
      <c r="C37" t="s">
        <v>54</v>
      </c>
      <c r="D37" s="9"/>
      <c r="E37" s="16" t="s">
        <v>11</v>
      </c>
      <c r="F37" s="16" t="s">
        <v>20</v>
      </c>
      <c r="G37" s="9" t="s">
        <v>165</v>
      </c>
      <c r="H37" s="11">
        <v>45012</v>
      </c>
      <c r="I37" s="9" t="s">
        <v>17</v>
      </c>
      <c r="J37" s="9">
        <v>4</v>
      </c>
      <c r="K37" s="16" t="s">
        <v>166</v>
      </c>
      <c r="L37" s="9">
        <v>5</v>
      </c>
    </row>
    <row r="38" spans="1:12" ht="75" x14ac:dyDescent="0.25">
      <c r="A38" s="10">
        <v>38</v>
      </c>
      <c r="B38" s="8">
        <v>45015.405960648146</v>
      </c>
      <c r="C38" t="s">
        <v>55</v>
      </c>
      <c r="D38" s="9"/>
      <c r="E38" s="15" t="s">
        <v>75</v>
      </c>
      <c r="F38" s="16" t="s">
        <v>95</v>
      </c>
      <c r="G38" s="9" t="s">
        <v>167</v>
      </c>
      <c r="H38" s="11">
        <v>44986</v>
      </c>
      <c r="I38" s="9" t="s">
        <v>13</v>
      </c>
      <c r="J38" s="9">
        <v>3</v>
      </c>
      <c r="K38" s="16" t="s">
        <v>168</v>
      </c>
      <c r="L38" s="9">
        <v>5</v>
      </c>
    </row>
    <row r="39" spans="1:12" ht="30" x14ac:dyDescent="0.25">
      <c r="A39" s="10">
        <v>39</v>
      </c>
      <c r="B39" s="8">
        <v>45021.616967592592</v>
      </c>
      <c r="C39" t="s">
        <v>56</v>
      </c>
      <c r="D39" s="9"/>
      <c r="E39" s="16" t="s">
        <v>33</v>
      </c>
      <c r="F39" s="16" t="s">
        <v>95</v>
      </c>
      <c r="G39" s="9" t="s">
        <v>169</v>
      </c>
      <c r="H39" s="11">
        <v>45019</v>
      </c>
      <c r="I39" s="9" t="s">
        <v>17</v>
      </c>
      <c r="J39" s="9">
        <v>4</v>
      </c>
      <c r="K39" s="16" t="s">
        <v>170</v>
      </c>
      <c r="L39" s="9">
        <v>9</v>
      </c>
    </row>
    <row r="40" spans="1:12" ht="30" x14ac:dyDescent="0.25">
      <c r="A40" s="7">
        <v>40</v>
      </c>
      <c r="B40" s="8">
        <v>45027.466782407406</v>
      </c>
      <c r="C40" t="s">
        <v>57</v>
      </c>
      <c r="D40" s="9"/>
      <c r="E40" s="15" t="s">
        <v>100</v>
      </c>
      <c r="F40" s="16" t="s">
        <v>36</v>
      </c>
      <c r="G40" s="9" t="s">
        <v>171</v>
      </c>
      <c r="H40" s="11">
        <v>45015</v>
      </c>
      <c r="I40" s="9" t="s">
        <v>17</v>
      </c>
      <c r="J40" s="9">
        <v>5</v>
      </c>
      <c r="K40" s="16" t="s">
        <v>172</v>
      </c>
      <c r="L40" s="9">
        <v>10</v>
      </c>
    </row>
    <row r="41" spans="1:12" ht="30" x14ac:dyDescent="0.25">
      <c r="A41" s="10">
        <v>41</v>
      </c>
      <c r="B41" s="8">
        <v>45027.529675925929</v>
      </c>
      <c r="C41" t="s">
        <v>58</v>
      </c>
      <c r="D41" s="9"/>
      <c r="E41" s="16" t="s">
        <v>33</v>
      </c>
      <c r="F41" s="16" t="s">
        <v>95</v>
      </c>
      <c r="G41" s="9" t="s">
        <v>173</v>
      </c>
      <c r="H41" s="11">
        <v>45020</v>
      </c>
      <c r="I41" s="9" t="s">
        <v>17</v>
      </c>
      <c r="J41" s="9">
        <v>5</v>
      </c>
      <c r="K41" s="16" t="s">
        <v>174</v>
      </c>
      <c r="L41" s="9">
        <v>10</v>
      </c>
    </row>
    <row r="42" spans="1:12" ht="45" x14ac:dyDescent="0.25">
      <c r="A42" s="10">
        <v>42</v>
      </c>
      <c r="B42" s="8">
        <v>45028.594942129632</v>
      </c>
      <c r="C42" t="s">
        <v>59</v>
      </c>
      <c r="D42" s="9" t="s">
        <v>17</v>
      </c>
      <c r="E42" s="16" t="s">
        <v>11</v>
      </c>
      <c r="F42" s="16" t="s">
        <v>95</v>
      </c>
      <c r="G42" s="9" t="s">
        <v>175</v>
      </c>
      <c r="H42" s="11">
        <v>45028</v>
      </c>
      <c r="I42" s="9" t="s">
        <v>17</v>
      </c>
      <c r="J42" s="9">
        <v>5</v>
      </c>
      <c r="K42" s="16" t="s">
        <v>176</v>
      </c>
      <c r="L42" s="9">
        <v>10</v>
      </c>
    </row>
    <row r="43" spans="1:12" ht="45" x14ac:dyDescent="0.25">
      <c r="A43" s="7">
        <v>43</v>
      </c>
      <c r="B43" s="8">
        <v>45040.417453703703</v>
      </c>
      <c r="C43" t="s">
        <v>60</v>
      </c>
      <c r="D43" s="9" t="s">
        <v>17</v>
      </c>
      <c r="E43" s="16" t="s">
        <v>11</v>
      </c>
      <c r="F43" s="16" t="s">
        <v>95</v>
      </c>
      <c r="G43" s="9" t="s">
        <v>177</v>
      </c>
      <c r="H43" s="11">
        <v>44837</v>
      </c>
      <c r="I43" s="9" t="s">
        <v>13</v>
      </c>
      <c r="J43" s="9">
        <v>1</v>
      </c>
      <c r="K43" s="16" t="s">
        <v>178</v>
      </c>
      <c r="L43" s="9">
        <v>1</v>
      </c>
    </row>
    <row r="44" spans="1:12" x14ac:dyDescent="0.25">
      <c r="A44" s="10">
        <v>44</v>
      </c>
      <c r="B44" s="8">
        <v>45043.707384259258</v>
      </c>
      <c r="C44" t="s">
        <v>61</v>
      </c>
      <c r="D44" s="9"/>
      <c r="E44" s="16" t="s">
        <v>16</v>
      </c>
      <c r="F44" s="16" t="s">
        <v>29</v>
      </c>
      <c r="G44" s="9" t="s">
        <v>179</v>
      </c>
      <c r="H44" s="11">
        <v>45042</v>
      </c>
      <c r="I44" s="9" t="s">
        <v>17</v>
      </c>
      <c r="J44" s="9">
        <v>5</v>
      </c>
      <c r="K44" s="16" t="s">
        <v>180</v>
      </c>
      <c r="L44" s="9">
        <v>10</v>
      </c>
    </row>
    <row r="45" spans="1:12" ht="13.7" customHeight="1" x14ac:dyDescent="0.25">
      <c r="A45" s="10">
        <v>45</v>
      </c>
      <c r="B45" s="8">
        <v>45049.650034722225</v>
      </c>
      <c r="C45" t="s">
        <v>62</v>
      </c>
      <c r="D45" s="9"/>
      <c r="E45" s="16" t="s">
        <v>16</v>
      </c>
      <c r="F45" s="16" t="s">
        <v>29</v>
      </c>
      <c r="G45" s="9" t="s">
        <v>181</v>
      </c>
      <c r="H45" s="11">
        <v>45049</v>
      </c>
      <c r="I45" s="9" t="s">
        <v>17</v>
      </c>
      <c r="J45" s="9">
        <v>5</v>
      </c>
      <c r="K45" s="16" t="s">
        <v>182</v>
      </c>
      <c r="L45" s="9">
        <v>10</v>
      </c>
    </row>
    <row r="46" spans="1:12" ht="45" x14ac:dyDescent="0.25">
      <c r="A46" s="7">
        <v>46</v>
      </c>
      <c r="B46" s="8">
        <v>45055.670486111114</v>
      </c>
      <c r="C46" t="s">
        <v>63</v>
      </c>
      <c r="D46" s="9"/>
      <c r="E46" s="16" t="s">
        <v>11</v>
      </c>
      <c r="F46" s="16" t="s">
        <v>99</v>
      </c>
      <c r="G46" s="9" t="s">
        <v>183</v>
      </c>
      <c r="H46" s="11">
        <v>45050</v>
      </c>
      <c r="I46" s="9" t="s">
        <v>17</v>
      </c>
      <c r="J46" s="9">
        <v>5</v>
      </c>
      <c r="K46" s="16" t="s">
        <v>184</v>
      </c>
      <c r="L46" s="9">
        <v>10</v>
      </c>
    </row>
    <row r="47" spans="1:12" ht="30" x14ac:dyDescent="0.25">
      <c r="A47" s="10">
        <v>47</v>
      </c>
      <c r="B47" s="8">
        <v>45058.456400462965</v>
      </c>
      <c r="C47" t="s">
        <v>64</v>
      </c>
      <c r="D47" s="9"/>
      <c r="E47" s="16" t="s">
        <v>33</v>
      </c>
      <c r="F47" s="16" t="s">
        <v>95</v>
      </c>
      <c r="G47" s="9" t="s">
        <v>185</v>
      </c>
      <c r="H47" s="11">
        <v>45055</v>
      </c>
      <c r="I47" s="9" t="s">
        <v>17</v>
      </c>
      <c r="J47" s="9">
        <v>5</v>
      </c>
      <c r="K47" s="16" t="s">
        <v>186</v>
      </c>
      <c r="L47" s="9">
        <v>10</v>
      </c>
    </row>
    <row r="48" spans="1:12" ht="30" x14ac:dyDescent="0.25">
      <c r="A48" s="10">
        <v>48</v>
      </c>
      <c r="B48" s="8">
        <v>45062.372037037036</v>
      </c>
      <c r="C48" t="s">
        <v>64</v>
      </c>
      <c r="D48" s="9"/>
      <c r="E48" s="15" t="s">
        <v>75</v>
      </c>
      <c r="F48" s="16" t="s">
        <v>95</v>
      </c>
      <c r="G48" s="9" t="s">
        <v>187</v>
      </c>
      <c r="H48" s="11">
        <v>45061</v>
      </c>
      <c r="I48" s="9" t="s">
        <v>17</v>
      </c>
      <c r="J48" s="9">
        <v>5</v>
      </c>
      <c r="K48" s="16" t="s">
        <v>188</v>
      </c>
      <c r="L48" s="9">
        <v>10</v>
      </c>
    </row>
    <row r="49" spans="1:12" ht="45" x14ac:dyDescent="0.25">
      <c r="A49" s="7">
        <v>49</v>
      </c>
      <c r="B49" s="8">
        <v>45064.603298611109</v>
      </c>
      <c r="C49" t="s">
        <v>65</v>
      </c>
      <c r="D49" s="9"/>
      <c r="E49" s="16" t="s">
        <v>33</v>
      </c>
      <c r="F49" s="16" t="s">
        <v>99</v>
      </c>
      <c r="G49" s="9" t="s">
        <v>189</v>
      </c>
      <c r="H49" s="11">
        <v>45064</v>
      </c>
      <c r="I49" s="9" t="s">
        <v>17</v>
      </c>
      <c r="J49" s="9">
        <v>5</v>
      </c>
      <c r="K49" s="16" t="s">
        <v>190</v>
      </c>
      <c r="L49" s="9">
        <v>10</v>
      </c>
    </row>
    <row r="50" spans="1:12" ht="45" x14ac:dyDescent="0.25">
      <c r="A50" s="10">
        <v>50</v>
      </c>
      <c r="B50" s="8">
        <v>45068.345509259256</v>
      </c>
      <c r="C50" t="s">
        <v>43</v>
      </c>
      <c r="D50" s="9"/>
      <c r="E50" s="16" t="s">
        <v>33</v>
      </c>
      <c r="F50" s="16" t="s">
        <v>99</v>
      </c>
      <c r="G50" s="9" t="s">
        <v>191</v>
      </c>
      <c r="H50" s="11">
        <v>45064</v>
      </c>
      <c r="I50" s="9" t="s">
        <v>17</v>
      </c>
      <c r="J50" s="9">
        <v>5</v>
      </c>
      <c r="K50" s="16" t="s">
        <v>192</v>
      </c>
      <c r="L50" s="9">
        <v>10</v>
      </c>
    </row>
    <row r="51" spans="1:12" ht="30" x14ac:dyDescent="0.25">
      <c r="A51" s="10">
        <v>51</v>
      </c>
      <c r="B51" s="8">
        <v>45070.334490740737</v>
      </c>
      <c r="C51" t="s">
        <v>66</v>
      </c>
      <c r="D51" s="9"/>
      <c r="E51" s="16" t="s">
        <v>11</v>
      </c>
      <c r="F51" s="16" t="s">
        <v>95</v>
      </c>
      <c r="G51" s="9" t="s">
        <v>193</v>
      </c>
      <c r="H51" s="11">
        <v>45064</v>
      </c>
      <c r="I51" s="9" t="s">
        <v>17</v>
      </c>
      <c r="J51" s="9">
        <v>5</v>
      </c>
      <c r="K51" s="16" t="s">
        <v>194</v>
      </c>
      <c r="L51" s="9">
        <v>10</v>
      </c>
    </row>
    <row r="52" spans="1:12" ht="30" x14ac:dyDescent="0.25">
      <c r="A52" s="7">
        <v>52</v>
      </c>
      <c r="B52" s="8">
        <v>45070.891643518517</v>
      </c>
      <c r="C52" t="s">
        <v>67</v>
      </c>
      <c r="D52" s="9"/>
      <c r="E52" s="15" t="s">
        <v>75</v>
      </c>
      <c r="F52" s="16" t="s">
        <v>95</v>
      </c>
      <c r="G52" s="9" t="s">
        <v>195</v>
      </c>
      <c r="H52" s="11">
        <v>45044</v>
      </c>
      <c r="I52" s="9" t="s">
        <v>13</v>
      </c>
      <c r="J52" s="9">
        <v>1</v>
      </c>
      <c r="K52" s="16" t="s">
        <v>196</v>
      </c>
      <c r="L52" s="9">
        <v>1</v>
      </c>
    </row>
    <row r="53" spans="1:12" ht="30" x14ac:dyDescent="0.25">
      <c r="A53" s="10">
        <v>53</v>
      </c>
      <c r="B53" s="8">
        <v>45076.403055555558</v>
      </c>
      <c r="C53" t="s">
        <v>68</v>
      </c>
      <c r="D53" s="9"/>
      <c r="E53" s="16" t="s">
        <v>33</v>
      </c>
      <c r="F53" s="16" t="s">
        <v>95</v>
      </c>
      <c r="G53" s="9" t="s">
        <v>197</v>
      </c>
      <c r="H53" s="11">
        <v>45071</v>
      </c>
      <c r="I53" s="9" t="s">
        <v>17</v>
      </c>
      <c r="J53" s="9">
        <v>5</v>
      </c>
      <c r="K53" s="16" t="s">
        <v>153</v>
      </c>
      <c r="L53" s="9">
        <v>10</v>
      </c>
    </row>
    <row r="54" spans="1:12" ht="30" x14ac:dyDescent="0.25">
      <c r="A54" s="10">
        <v>54</v>
      </c>
      <c r="B54" s="8">
        <v>45077.440671296295</v>
      </c>
      <c r="C54" t="s">
        <v>52</v>
      </c>
      <c r="D54" s="9"/>
      <c r="E54" s="16" t="s">
        <v>11</v>
      </c>
      <c r="F54" s="16" t="s">
        <v>95</v>
      </c>
      <c r="G54" s="9" t="s">
        <v>198</v>
      </c>
      <c r="H54" s="11">
        <v>45072</v>
      </c>
      <c r="I54" s="9" t="s">
        <v>17</v>
      </c>
      <c r="J54" s="9">
        <v>5</v>
      </c>
      <c r="K54" s="16" t="s">
        <v>199</v>
      </c>
      <c r="L54" s="9">
        <v>10</v>
      </c>
    </row>
    <row r="55" spans="1:12" ht="30" x14ac:dyDescent="0.25">
      <c r="A55" s="7">
        <v>55</v>
      </c>
      <c r="B55" s="8">
        <v>45084.560740740744</v>
      </c>
      <c r="C55" t="s">
        <v>69</v>
      </c>
      <c r="D55" s="9" t="s">
        <v>200</v>
      </c>
      <c r="E55" s="15" t="s">
        <v>100</v>
      </c>
      <c r="F55" s="16" t="s">
        <v>95</v>
      </c>
      <c r="G55" s="9" t="s">
        <v>201</v>
      </c>
      <c r="H55" s="11">
        <v>45063</v>
      </c>
      <c r="I55" s="9" t="s">
        <v>13</v>
      </c>
      <c r="J55" s="9">
        <v>1</v>
      </c>
      <c r="K55" s="16" t="s">
        <v>202</v>
      </c>
      <c r="L55" s="9">
        <v>1</v>
      </c>
    </row>
    <row r="56" spans="1:12" ht="45" x14ac:dyDescent="0.25">
      <c r="A56" s="10">
        <v>56</v>
      </c>
      <c r="B56" s="8">
        <v>45084.644108796296</v>
      </c>
      <c r="C56" t="s">
        <v>70</v>
      </c>
      <c r="D56" s="9"/>
      <c r="E56" s="15" t="s">
        <v>75</v>
      </c>
      <c r="F56" s="16" t="s">
        <v>95</v>
      </c>
      <c r="G56" s="9" t="s">
        <v>203</v>
      </c>
      <c r="H56" s="11">
        <v>44596</v>
      </c>
      <c r="I56" s="9" t="s">
        <v>13</v>
      </c>
      <c r="J56" s="9">
        <v>1</v>
      </c>
      <c r="K56" s="16" t="s">
        <v>204</v>
      </c>
      <c r="L56" s="9">
        <v>1</v>
      </c>
    </row>
    <row r="57" spans="1:12" ht="45" x14ac:dyDescent="0.25">
      <c r="A57" s="10">
        <v>57</v>
      </c>
      <c r="B57" s="8">
        <v>45091.544247685182</v>
      </c>
      <c r="C57" t="s">
        <v>71</v>
      </c>
      <c r="D57" s="9"/>
      <c r="E57" s="16" t="s">
        <v>33</v>
      </c>
      <c r="F57" s="16" t="s">
        <v>99</v>
      </c>
      <c r="G57" s="9" t="s">
        <v>205</v>
      </c>
      <c r="H57" s="11">
        <v>44915</v>
      </c>
      <c r="I57" s="9" t="s">
        <v>17</v>
      </c>
      <c r="J57" s="9">
        <v>5</v>
      </c>
      <c r="K57" s="16" t="s">
        <v>206</v>
      </c>
      <c r="L57" s="9">
        <v>10</v>
      </c>
    </row>
    <row r="58" spans="1:12" ht="45" x14ac:dyDescent="0.25">
      <c r="A58" s="7">
        <v>58</v>
      </c>
      <c r="B58" s="8">
        <v>45096.423831018517</v>
      </c>
      <c r="C58" t="s">
        <v>72</v>
      </c>
      <c r="D58" s="9"/>
      <c r="E58" s="16" t="s">
        <v>11</v>
      </c>
      <c r="F58" s="16" t="s">
        <v>99</v>
      </c>
      <c r="G58" s="9" t="s">
        <v>39</v>
      </c>
      <c r="H58" s="11">
        <v>45057</v>
      </c>
      <c r="I58" s="9" t="s">
        <v>17</v>
      </c>
      <c r="J58" s="9">
        <v>5</v>
      </c>
      <c r="K58" s="16" t="s">
        <v>154</v>
      </c>
      <c r="L58" s="9">
        <v>10</v>
      </c>
    </row>
    <row r="59" spans="1:12" ht="30" x14ac:dyDescent="0.25">
      <c r="A59" s="10">
        <v>59</v>
      </c>
      <c r="B59" s="8">
        <v>45100.620949074073</v>
      </c>
      <c r="C59" t="s">
        <v>53</v>
      </c>
      <c r="D59" s="9"/>
      <c r="E59" s="16" t="s">
        <v>11</v>
      </c>
      <c r="F59" s="16" t="s">
        <v>95</v>
      </c>
      <c r="G59" s="9" t="s">
        <v>207</v>
      </c>
      <c r="H59" s="11">
        <v>45097</v>
      </c>
      <c r="I59" s="9" t="s">
        <v>17</v>
      </c>
      <c r="J59" s="9">
        <v>5</v>
      </c>
      <c r="K59" s="16" t="s">
        <v>208</v>
      </c>
      <c r="L59" s="9">
        <v>10</v>
      </c>
    </row>
    <row r="60" spans="1:12" ht="30" x14ac:dyDescent="0.25">
      <c r="A60" s="10">
        <v>60</v>
      </c>
      <c r="B60" s="8">
        <v>45105.556250000001</v>
      </c>
      <c r="C60" t="s">
        <v>73</v>
      </c>
      <c r="D60" s="9"/>
      <c r="E60" s="15" t="s">
        <v>75</v>
      </c>
      <c r="F60" s="16" t="s">
        <v>95</v>
      </c>
      <c r="G60" s="9" t="s">
        <v>209</v>
      </c>
      <c r="H60" s="11">
        <v>45105</v>
      </c>
      <c r="I60" s="9" t="s">
        <v>17</v>
      </c>
      <c r="J60" s="9">
        <v>5</v>
      </c>
      <c r="K60" s="16" t="s">
        <v>210</v>
      </c>
      <c r="L60" s="9">
        <v>10</v>
      </c>
    </row>
    <row r="61" spans="1:12" ht="45" x14ac:dyDescent="0.25">
      <c r="A61" s="7">
        <v>61</v>
      </c>
      <c r="B61" s="8">
        <v>45111.382962962962</v>
      </c>
      <c r="C61" s="3" t="s">
        <v>74</v>
      </c>
      <c r="D61" s="9"/>
      <c r="E61" s="16" t="s">
        <v>33</v>
      </c>
      <c r="F61" s="16" t="s">
        <v>99</v>
      </c>
      <c r="G61" s="9" t="s">
        <v>211</v>
      </c>
      <c r="H61" s="11">
        <v>45107</v>
      </c>
      <c r="I61" s="9" t="s">
        <v>17</v>
      </c>
      <c r="J61" s="9">
        <v>5</v>
      </c>
      <c r="K61" s="16" t="s">
        <v>212</v>
      </c>
      <c r="L61" s="9">
        <v>10</v>
      </c>
    </row>
    <row r="62" spans="1:12" ht="45" x14ac:dyDescent="0.25">
      <c r="A62" s="10">
        <v>62</v>
      </c>
      <c r="B62" s="8">
        <v>45114.630381944444</v>
      </c>
      <c r="C62" t="s">
        <v>76</v>
      </c>
      <c r="D62" s="9"/>
      <c r="E62" s="16" t="s">
        <v>33</v>
      </c>
      <c r="F62" s="16" t="s">
        <v>99</v>
      </c>
      <c r="G62" s="9" t="s">
        <v>213</v>
      </c>
      <c r="H62" s="11">
        <v>45107</v>
      </c>
      <c r="I62" s="9" t="s">
        <v>17</v>
      </c>
      <c r="J62" s="9">
        <v>5</v>
      </c>
      <c r="K62" s="16" t="s">
        <v>214</v>
      </c>
      <c r="L62" s="9">
        <v>10</v>
      </c>
    </row>
    <row r="63" spans="1:12" ht="30" x14ac:dyDescent="0.25">
      <c r="A63" s="10">
        <v>63</v>
      </c>
      <c r="B63" s="8">
        <v>45117.604467592595</v>
      </c>
      <c r="C63" t="s">
        <v>77</v>
      </c>
      <c r="D63" s="9"/>
      <c r="E63" s="16" t="s">
        <v>26</v>
      </c>
      <c r="F63" s="16" t="s">
        <v>95</v>
      </c>
      <c r="G63" s="9" t="s">
        <v>215</v>
      </c>
      <c r="H63" s="11">
        <v>45106</v>
      </c>
      <c r="I63" s="9" t="s">
        <v>17</v>
      </c>
      <c r="J63" s="9">
        <v>5</v>
      </c>
      <c r="K63" s="16" t="s">
        <v>216</v>
      </c>
      <c r="L63" s="9">
        <v>10</v>
      </c>
    </row>
    <row r="64" spans="1:12" ht="30" x14ac:dyDescent="0.25">
      <c r="A64" s="7">
        <v>64</v>
      </c>
      <c r="B64" s="8">
        <v>45127.454641203702</v>
      </c>
      <c r="C64" t="s">
        <v>78</v>
      </c>
      <c r="D64" s="9"/>
      <c r="E64" s="15" t="s">
        <v>100</v>
      </c>
      <c r="F64" s="16" t="s">
        <v>95</v>
      </c>
      <c r="G64" s="9" t="s">
        <v>217</v>
      </c>
      <c r="H64" s="11">
        <v>45125</v>
      </c>
      <c r="I64" s="9" t="s">
        <v>17</v>
      </c>
      <c r="J64" s="9">
        <v>4</v>
      </c>
      <c r="K64" s="16" t="s">
        <v>218</v>
      </c>
      <c r="L64" s="9">
        <v>10</v>
      </c>
    </row>
    <row r="65" spans="1:12" ht="30" x14ac:dyDescent="0.25">
      <c r="A65" s="10">
        <v>65</v>
      </c>
      <c r="B65" s="8">
        <v>45131.43240740741</v>
      </c>
      <c r="C65" t="s">
        <v>79</v>
      </c>
      <c r="D65" s="9"/>
      <c r="E65" s="16" t="s">
        <v>11</v>
      </c>
      <c r="F65" s="16" t="s">
        <v>95</v>
      </c>
      <c r="G65" s="9" t="s">
        <v>219</v>
      </c>
      <c r="H65" s="11">
        <v>45128</v>
      </c>
      <c r="I65" s="9" t="s">
        <v>17</v>
      </c>
      <c r="J65" s="9">
        <v>5</v>
      </c>
      <c r="K65" s="16" t="s">
        <v>220</v>
      </c>
      <c r="L65" s="9">
        <v>10</v>
      </c>
    </row>
    <row r="66" spans="1:12" ht="45" x14ac:dyDescent="0.25">
      <c r="A66" s="10">
        <v>66</v>
      </c>
      <c r="B66" s="8">
        <v>45131.653611111113</v>
      </c>
      <c r="C66" t="s">
        <v>80</v>
      </c>
      <c r="D66" s="9"/>
      <c r="E66" s="16" t="s">
        <v>11</v>
      </c>
      <c r="F66" s="16" t="s">
        <v>99</v>
      </c>
      <c r="G66" s="9" t="s">
        <v>221</v>
      </c>
      <c r="H66" s="11">
        <v>45131</v>
      </c>
      <c r="I66" s="9" t="s">
        <v>17</v>
      </c>
      <c r="J66" s="9">
        <v>5</v>
      </c>
      <c r="K66" s="16" t="s">
        <v>222</v>
      </c>
      <c r="L66" s="9">
        <v>10</v>
      </c>
    </row>
    <row r="67" spans="1:12" ht="30" x14ac:dyDescent="0.25">
      <c r="A67" s="7">
        <v>67</v>
      </c>
      <c r="B67" s="8">
        <v>45133.500034722223</v>
      </c>
      <c r="C67" t="s">
        <v>80</v>
      </c>
      <c r="D67" s="9"/>
      <c r="E67" s="15" t="s">
        <v>75</v>
      </c>
      <c r="F67" s="16" t="s">
        <v>95</v>
      </c>
      <c r="G67" s="9" t="s">
        <v>223</v>
      </c>
      <c r="H67" s="11">
        <v>45132</v>
      </c>
      <c r="I67" s="9" t="s">
        <v>17</v>
      </c>
      <c r="J67" s="9">
        <v>5</v>
      </c>
      <c r="K67" s="16" t="s">
        <v>224</v>
      </c>
      <c r="L67" s="9">
        <v>10</v>
      </c>
    </row>
    <row r="68" spans="1:12" ht="105" x14ac:dyDescent="0.25">
      <c r="A68" s="10">
        <v>68</v>
      </c>
      <c r="B68" s="8">
        <v>45135.502118055556</v>
      </c>
      <c r="C68" t="s">
        <v>81</v>
      </c>
      <c r="D68" s="9"/>
      <c r="E68" s="16" t="s">
        <v>11</v>
      </c>
      <c r="F68" s="16" t="s">
        <v>95</v>
      </c>
      <c r="G68" s="9" t="s">
        <v>225</v>
      </c>
      <c r="H68" s="11">
        <v>45134</v>
      </c>
      <c r="I68" s="9" t="s">
        <v>17</v>
      </c>
      <c r="J68" s="9">
        <v>5</v>
      </c>
      <c r="K68" s="16" t="s">
        <v>226</v>
      </c>
      <c r="L68" s="9">
        <v>10</v>
      </c>
    </row>
    <row r="69" spans="1:12" ht="45" x14ac:dyDescent="0.25">
      <c r="A69" s="10">
        <v>69</v>
      </c>
      <c r="B69" s="8">
        <v>45140.568344907406</v>
      </c>
      <c r="C69" t="s">
        <v>82</v>
      </c>
      <c r="D69" s="9"/>
      <c r="E69" s="16" t="s">
        <v>33</v>
      </c>
      <c r="F69" s="16" t="s">
        <v>99</v>
      </c>
      <c r="G69" s="9" t="s">
        <v>227</v>
      </c>
      <c r="H69" s="11">
        <v>45139</v>
      </c>
      <c r="I69" s="9" t="s">
        <v>17</v>
      </c>
      <c r="J69" s="9">
        <v>5</v>
      </c>
      <c r="K69" s="16" t="s">
        <v>228</v>
      </c>
      <c r="L69" s="9">
        <v>10</v>
      </c>
    </row>
    <row r="70" spans="1:12" ht="30" x14ac:dyDescent="0.25">
      <c r="A70" s="7">
        <v>70</v>
      </c>
      <c r="B70" s="8">
        <v>45148.623171296298</v>
      </c>
      <c r="C70" t="s">
        <v>83</v>
      </c>
      <c r="D70" s="9"/>
      <c r="E70" s="16" t="s">
        <v>33</v>
      </c>
      <c r="F70" s="16" t="s">
        <v>95</v>
      </c>
      <c r="G70" s="9" t="s">
        <v>229</v>
      </c>
      <c r="H70" s="11">
        <v>45147</v>
      </c>
      <c r="I70" s="9" t="s">
        <v>17</v>
      </c>
      <c r="J70" s="9">
        <v>5</v>
      </c>
      <c r="K70" s="16" t="s">
        <v>230</v>
      </c>
      <c r="L70" s="9">
        <v>10</v>
      </c>
    </row>
    <row r="71" spans="1:12" ht="30" x14ac:dyDescent="0.25">
      <c r="A71" s="10">
        <v>71</v>
      </c>
      <c r="B71" s="8">
        <v>45154.422395833331</v>
      </c>
      <c r="C71" t="s">
        <v>84</v>
      </c>
      <c r="D71" s="9"/>
      <c r="E71" s="16" t="s">
        <v>33</v>
      </c>
      <c r="F71" s="16" t="s">
        <v>95</v>
      </c>
      <c r="G71" s="9" t="s">
        <v>231</v>
      </c>
      <c r="H71" s="11">
        <v>45152</v>
      </c>
      <c r="I71" s="9" t="s">
        <v>17</v>
      </c>
      <c r="J71" s="9">
        <v>5</v>
      </c>
      <c r="K71" s="16" t="s">
        <v>232</v>
      </c>
      <c r="L71" s="9">
        <v>10</v>
      </c>
    </row>
    <row r="72" spans="1:12" ht="30" x14ac:dyDescent="0.25">
      <c r="A72" s="10">
        <v>72</v>
      </c>
      <c r="B72" s="8">
        <v>45159.366261574076</v>
      </c>
      <c r="C72" t="s">
        <v>85</v>
      </c>
      <c r="D72" s="9" t="s">
        <v>17</v>
      </c>
      <c r="E72" s="16" t="s">
        <v>33</v>
      </c>
      <c r="F72" s="16" t="s">
        <v>95</v>
      </c>
      <c r="G72" s="9" t="s">
        <v>233</v>
      </c>
      <c r="H72" s="11">
        <v>45125</v>
      </c>
      <c r="I72" s="9" t="s">
        <v>13</v>
      </c>
      <c r="J72" s="9">
        <v>1</v>
      </c>
      <c r="K72" s="16" t="s">
        <v>234</v>
      </c>
      <c r="L72" s="9">
        <v>1</v>
      </c>
    </row>
    <row r="73" spans="1:12" ht="75" x14ac:dyDescent="0.25">
      <c r="A73" s="7">
        <v>73</v>
      </c>
      <c r="B73" s="8">
        <v>45163.944872685184</v>
      </c>
      <c r="C73" t="s">
        <v>86</v>
      </c>
      <c r="D73" s="9"/>
      <c r="E73" s="16" t="s">
        <v>11</v>
      </c>
      <c r="F73" s="16" t="s">
        <v>99</v>
      </c>
      <c r="G73" s="9" t="s">
        <v>235</v>
      </c>
      <c r="H73" s="11">
        <v>45163</v>
      </c>
      <c r="I73" s="9" t="s">
        <v>17</v>
      </c>
      <c r="J73" s="9">
        <v>5</v>
      </c>
      <c r="K73" s="16" t="s">
        <v>236</v>
      </c>
      <c r="L73" s="9">
        <v>10</v>
      </c>
    </row>
    <row r="74" spans="1:12" ht="30" x14ac:dyDescent="0.25">
      <c r="A74" s="10">
        <v>74</v>
      </c>
      <c r="B74" s="8">
        <v>45167.61886574074</v>
      </c>
      <c r="C74" t="s">
        <v>87</v>
      </c>
      <c r="D74" s="9"/>
      <c r="E74" s="15" t="s">
        <v>75</v>
      </c>
      <c r="F74" s="16" t="s">
        <v>95</v>
      </c>
      <c r="G74" s="9" t="s">
        <v>237</v>
      </c>
      <c r="H74" s="11">
        <v>45167</v>
      </c>
      <c r="I74" s="9" t="s">
        <v>17</v>
      </c>
      <c r="J74" s="9">
        <v>5</v>
      </c>
      <c r="K74" s="16" t="s">
        <v>238</v>
      </c>
      <c r="L74" s="9">
        <v>10</v>
      </c>
    </row>
    <row r="75" spans="1:12" ht="30" x14ac:dyDescent="0.25">
      <c r="A75" s="10">
        <v>75</v>
      </c>
      <c r="B75" s="8">
        <v>45168.39508101852</v>
      </c>
      <c r="C75" t="s">
        <v>88</v>
      </c>
      <c r="D75" s="9"/>
      <c r="E75" s="16" t="s">
        <v>35</v>
      </c>
      <c r="F75" s="16" t="s">
        <v>95</v>
      </c>
      <c r="G75" s="9" t="s">
        <v>239</v>
      </c>
      <c r="H75" s="11">
        <v>45162</v>
      </c>
      <c r="I75" s="9" t="s">
        <v>17</v>
      </c>
      <c r="J75" s="9">
        <v>5</v>
      </c>
      <c r="K75" s="16" t="s">
        <v>240</v>
      </c>
      <c r="L75" s="9">
        <v>10</v>
      </c>
    </row>
    <row r="76" spans="1:12" ht="45" x14ac:dyDescent="0.25">
      <c r="A76" s="7">
        <v>76</v>
      </c>
      <c r="B76" s="8">
        <v>45175.582858796297</v>
      </c>
      <c r="C76" t="s">
        <v>43</v>
      </c>
      <c r="D76" s="9" t="s">
        <v>114</v>
      </c>
      <c r="E76" s="16" t="s">
        <v>33</v>
      </c>
      <c r="F76" s="16" t="s">
        <v>99</v>
      </c>
      <c r="G76" s="9" t="s">
        <v>114</v>
      </c>
      <c r="H76" s="11">
        <v>45169</v>
      </c>
      <c r="I76" s="9" t="s">
        <v>17</v>
      </c>
      <c r="J76" s="9">
        <v>5</v>
      </c>
      <c r="K76" s="16" t="s">
        <v>241</v>
      </c>
      <c r="L76" s="9">
        <v>10</v>
      </c>
    </row>
    <row r="77" spans="1:12" ht="30" x14ac:dyDescent="0.25">
      <c r="A77" s="10">
        <v>77</v>
      </c>
      <c r="B77" s="8">
        <v>45180.543958333335</v>
      </c>
      <c r="C77" t="s">
        <v>89</v>
      </c>
      <c r="D77" s="9" t="s">
        <v>17</v>
      </c>
      <c r="E77" s="15" t="s">
        <v>75</v>
      </c>
      <c r="F77" s="16" t="s">
        <v>95</v>
      </c>
      <c r="G77" s="9" t="s">
        <v>242</v>
      </c>
      <c r="H77" s="11">
        <v>45180</v>
      </c>
      <c r="I77" s="9" t="s">
        <v>13</v>
      </c>
      <c r="J77" s="9">
        <v>1</v>
      </c>
      <c r="K77" s="16" t="s">
        <v>243</v>
      </c>
      <c r="L77" s="9">
        <v>1</v>
      </c>
    </row>
    <row r="78" spans="1:12" ht="45" x14ac:dyDescent="0.25">
      <c r="A78" s="10">
        <v>78</v>
      </c>
      <c r="B78" s="8">
        <v>45182.581712962965</v>
      </c>
      <c r="C78" t="s">
        <v>90</v>
      </c>
      <c r="D78" s="9" t="s">
        <v>17</v>
      </c>
      <c r="E78" s="15" t="s">
        <v>100</v>
      </c>
      <c r="F78" s="16" t="s">
        <v>95</v>
      </c>
      <c r="G78" s="9" t="s">
        <v>244</v>
      </c>
      <c r="H78" s="11">
        <v>45174</v>
      </c>
      <c r="I78" s="9" t="s">
        <v>13</v>
      </c>
      <c r="J78" s="9">
        <v>1</v>
      </c>
      <c r="K78" s="16" t="s">
        <v>245</v>
      </c>
      <c r="L78" s="9">
        <v>1</v>
      </c>
    </row>
    <row r="79" spans="1:12" ht="45" x14ac:dyDescent="0.25">
      <c r="A79" s="7">
        <v>79</v>
      </c>
      <c r="B79" s="8">
        <v>45183.424317129633</v>
      </c>
      <c r="C79" t="s">
        <v>91</v>
      </c>
      <c r="D79" s="9"/>
      <c r="E79" s="15" t="s">
        <v>75</v>
      </c>
      <c r="F79" s="16" t="s">
        <v>95</v>
      </c>
      <c r="G79" s="9" t="s">
        <v>246</v>
      </c>
      <c r="H79" s="11">
        <v>45173</v>
      </c>
      <c r="I79" s="9" t="s">
        <v>13</v>
      </c>
      <c r="J79" s="9">
        <v>3</v>
      </c>
      <c r="K79" s="16" t="s">
        <v>247</v>
      </c>
      <c r="L79" s="9">
        <v>4</v>
      </c>
    </row>
    <row r="80" spans="1:12" ht="45" x14ac:dyDescent="0.25">
      <c r="A80" s="10">
        <v>80</v>
      </c>
      <c r="B80" s="8">
        <v>45187.625405092593</v>
      </c>
      <c r="C80" t="s">
        <v>92</v>
      </c>
      <c r="D80" s="9"/>
      <c r="E80" s="16" t="s">
        <v>33</v>
      </c>
      <c r="F80" s="16" t="s">
        <v>99</v>
      </c>
      <c r="G80" s="9" t="s">
        <v>249</v>
      </c>
      <c r="H80" s="11">
        <v>45162</v>
      </c>
      <c r="I80" s="9" t="s">
        <v>17</v>
      </c>
      <c r="J80" s="9">
        <v>5</v>
      </c>
      <c r="K80" s="16" t="s">
        <v>250</v>
      </c>
      <c r="L80" s="9">
        <v>10</v>
      </c>
    </row>
    <row r="81" spans="1:12" ht="45" x14ac:dyDescent="0.25">
      <c r="A81" s="10">
        <v>81</v>
      </c>
      <c r="B81" s="8">
        <v>45187.627893518518</v>
      </c>
      <c r="C81" s="2" t="s">
        <v>10</v>
      </c>
      <c r="D81" s="9"/>
      <c r="E81" s="16" t="s">
        <v>33</v>
      </c>
      <c r="F81" s="16" t="s">
        <v>99</v>
      </c>
      <c r="G81" s="9" t="s">
        <v>251</v>
      </c>
      <c r="H81" s="11">
        <v>45175</v>
      </c>
      <c r="I81" s="9" t="s">
        <v>17</v>
      </c>
      <c r="J81" s="9">
        <v>5</v>
      </c>
      <c r="K81" s="16" t="s">
        <v>248</v>
      </c>
      <c r="L81" s="9">
        <v>10</v>
      </c>
    </row>
    <row r="82" spans="1:12" x14ac:dyDescent="0.25">
      <c r="A82" s="7">
        <v>82</v>
      </c>
      <c r="B82" s="8">
        <v>45189.761863425927</v>
      </c>
      <c r="C82" s="1" t="s">
        <v>15</v>
      </c>
      <c r="D82" s="9"/>
      <c r="E82" s="16" t="s">
        <v>16</v>
      </c>
      <c r="F82" s="16" t="s">
        <v>96</v>
      </c>
      <c r="G82" s="9" t="s">
        <v>252</v>
      </c>
      <c r="H82" s="11">
        <v>45187</v>
      </c>
      <c r="I82" s="9" t="s">
        <v>17</v>
      </c>
      <c r="J82" s="9">
        <v>5</v>
      </c>
      <c r="K82" s="16" t="s">
        <v>253</v>
      </c>
      <c r="L82" s="9">
        <v>10</v>
      </c>
    </row>
    <row r="83" spans="1:12" ht="45" x14ac:dyDescent="0.25">
      <c r="A83" s="10">
        <v>83</v>
      </c>
      <c r="B83" s="8">
        <v>45190.531875000001</v>
      </c>
      <c r="C83" t="s">
        <v>18</v>
      </c>
      <c r="D83" s="9" t="s">
        <v>17</v>
      </c>
      <c r="E83" s="16" t="s">
        <v>33</v>
      </c>
      <c r="F83" s="16" t="s">
        <v>99</v>
      </c>
      <c r="G83" s="9" t="s">
        <v>114</v>
      </c>
      <c r="H83" s="11">
        <v>45190</v>
      </c>
      <c r="I83" s="9" t="s">
        <v>17</v>
      </c>
      <c r="J83" s="9">
        <v>5</v>
      </c>
      <c r="K83" s="16" t="s">
        <v>254</v>
      </c>
      <c r="L83" s="9">
        <v>9</v>
      </c>
    </row>
    <row r="84" spans="1:12" ht="30" x14ac:dyDescent="0.25">
      <c r="A84" s="10">
        <v>84</v>
      </c>
      <c r="B84" s="8">
        <v>45191.41951388889</v>
      </c>
      <c r="C84" t="s">
        <v>19</v>
      </c>
      <c r="D84" s="9" t="s">
        <v>17</v>
      </c>
      <c r="E84" s="16" t="s">
        <v>11</v>
      </c>
      <c r="F84" s="16" t="s">
        <v>95</v>
      </c>
      <c r="G84" s="9" t="s">
        <v>255</v>
      </c>
      <c r="H84" s="11">
        <v>45190</v>
      </c>
      <c r="I84" s="9" t="s">
        <v>17</v>
      </c>
      <c r="J84" s="9">
        <v>5</v>
      </c>
      <c r="K84" s="16" t="s">
        <v>256</v>
      </c>
      <c r="L84" s="9">
        <v>10</v>
      </c>
    </row>
    <row r="85" spans="1:12" ht="30" x14ac:dyDescent="0.25">
      <c r="A85" s="7">
        <v>85</v>
      </c>
      <c r="B85" s="8">
        <v>45194.347025462965</v>
      </c>
      <c r="C85" t="s">
        <v>21</v>
      </c>
      <c r="D85" s="9" t="s">
        <v>17</v>
      </c>
      <c r="E85" s="16" t="s">
        <v>16</v>
      </c>
      <c r="F85" s="16" t="s">
        <v>96</v>
      </c>
      <c r="G85" s="9" t="s">
        <v>257</v>
      </c>
      <c r="H85" s="11">
        <v>45190</v>
      </c>
      <c r="I85" s="9" t="s">
        <v>17</v>
      </c>
      <c r="J85" s="9">
        <v>5</v>
      </c>
      <c r="K85" s="16" t="s">
        <v>258</v>
      </c>
      <c r="L85" s="9">
        <v>10</v>
      </c>
    </row>
    <row r="86" spans="1:12" ht="30" x14ac:dyDescent="0.25">
      <c r="A86" s="10">
        <v>86</v>
      </c>
      <c r="B86" s="8">
        <v>45195.408935185187</v>
      </c>
      <c r="C86" t="s">
        <v>22</v>
      </c>
      <c r="D86" s="9"/>
      <c r="E86" s="16" t="s">
        <v>33</v>
      </c>
      <c r="F86" s="16" t="s">
        <v>36</v>
      </c>
      <c r="G86" s="9" t="s">
        <v>259</v>
      </c>
      <c r="H86" s="11">
        <v>45188</v>
      </c>
      <c r="I86" s="9" t="s">
        <v>17</v>
      </c>
      <c r="J86" s="9">
        <v>5</v>
      </c>
      <c r="K86" s="16" t="s">
        <v>260</v>
      </c>
      <c r="L86" s="9">
        <v>10</v>
      </c>
    </row>
    <row r="87" spans="1:12" ht="30" x14ac:dyDescent="0.25">
      <c r="A87" s="10">
        <v>87</v>
      </c>
      <c r="B87" s="8">
        <v>45197.178530092591</v>
      </c>
      <c r="C87" t="s">
        <v>24</v>
      </c>
      <c r="D87" s="9" t="s">
        <v>13</v>
      </c>
      <c r="E87" s="15" t="s">
        <v>75</v>
      </c>
      <c r="F87" s="16" t="s">
        <v>36</v>
      </c>
      <c r="G87" s="9" t="s">
        <v>261</v>
      </c>
      <c r="H87" s="11">
        <v>45195</v>
      </c>
      <c r="I87" s="9" t="s">
        <v>17</v>
      </c>
      <c r="J87" s="9">
        <v>4</v>
      </c>
      <c r="K87" s="16" t="s">
        <v>262</v>
      </c>
      <c r="L87" s="9">
        <v>8</v>
      </c>
    </row>
    <row r="88" spans="1:12" ht="30" x14ac:dyDescent="0.25">
      <c r="A88" s="7">
        <v>88</v>
      </c>
      <c r="B88" s="8">
        <v>45198.47934027778</v>
      </c>
      <c r="C88" s="1" t="s">
        <v>25</v>
      </c>
      <c r="D88" s="9"/>
      <c r="E88" s="15" t="s">
        <v>75</v>
      </c>
      <c r="F88" s="16" t="s">
        <v>95</v>
      </c>
      <c r="G88" s="9" t="s">
        <v>264</v>
      </c>
      <c r="H88" s="11">
        <v>45197</v>
      </c>
      <c r="I88" s="9" t="s">
        <v>17</v>
      </c>
      <c r="J88" s="9">
        <v>5</v>
      </c>
      <c r="K88" s="16" t="s">
        <v>265</v>
      </c>
      <c r="L88" s="9">
        <v>10</v>
      </c>
    </row>
    <row r="89" spans="1:12" ht="45" x14ac:dyDescent="0.25">
      <c r="A89" s="10">
        <v>89</v>
      </c>
      <c r="B89" s="8">
        <v>45202.418935185182</v>
      </c>
      <c r="C89" t="s">
        <v>27</v>
      </c>
      <c r="D89" s="9" t="s">
        <v>267</v>
      </c>
      <c r="E89" s="15" t="s">
        <v>75</v>
      </c>
      <c r="F89" s="16" t="s">
        <v>95</v>
      </c>
      <c r="G89" s="9" t="s">
        <v>268</v>
      </c>
      <c r="H89" s="11">
        <v>45201</v>
      </c>
      <c r="I89" s="9" t="s">
        <v>13</v>
      </c>
      <c r="J89" s="9">
        <v>2</v>
      </c>
      <c r="K89" s="16" t="s">
        <v>269</v>
      </c>
      <c r="L89" s="9">
        <v>3</v>
      </c>
    </row>
    <row r="90" spans="1:12" ht="45" x14ac:dyDescent="0.25">
      <c r="A90" s="10">
        <v>90</v>
      </c>
      <c r="B90" s="8">
        <v>45203.662766203699</v>
      </c>
      <c r="C90" t="s">
        <v>28</v>
      </c>
      <c r="D90" s="10"/>
      <c r="E90" s="15" t="s">
        <v>23</v>
      </c>
      <c r="F90" s="15" t="s">
        <v>95</v>
      </c>
      <c r="G90" s="10" t="s">
        <v>270</v>
      </c>
      <c r="H90" s="8">
        <v>45202</v>
      </c>
      <c r="I90" s="10" t="s">
        <v>17</v>
      </c>
      <c r="J90" s="10">
        <v>5</v>
      </c>
      <c r="K90" s="15" t="s">
        <v>271</v>
      </c>
      <c r="L90" s="10">
        <v>9</v>
      </c>
    </row>
    <row r="91" spans="1:12" ht="30" x14ac:dyDescent="0.25">
      <c r="A91" s="7">
        <v>91</v>
      </c>
      <c r="B91" s="8">
        <v>45205.476030092599</v>
      </c>
      <c r="C91" t="s">
        <v>30</v>
      </c>
      <c r="D91" s="9" t="s">
        <v>17</v>
      </c>
      <c r="E91" s="15" t="s">
        <v>11</v>
      </c>
      <c r="F91" s="15" t="s">
        <v>95</v>
      </c>
      <c r="G91" s="10" t="s">
        <v>266</v>
      </c>
      <c r="H91" s="8">
        <v>45194</v>
      </c>
      <c r="I91" s="10" t="s">
        <v>17</v>
      </c>
      <c r="J91" s="10">
        <v>4</v>
      </c>
      <c r="K91" s="15" t="s">
        <v>272</v>
      </c>
      <c r="L91" s="10">
        <v>8</v>
      </c>
    </row>
    <row r="92" spans="1:12" ht="30" x14ac:dyDescent="0.25">
      <c r="A92" s="10">
        <v>92</v>
      </c>
      <c r="B92" s="8">
        <v>45208.441435185203</v>
      </c>
      <c r="C92" t="s">
        <v>31</v>
      </c>
      <c r="D92" s="9" t="s">
        <v>17</v>
      </c>
      <c r="E92" s="15" t="s">
        <v>11</v>
      </c>
      <c r="F92" s="15" t="s">
        <v>95</v>
      </c>
      <c r="G92" s="10" t="s">
        <v>266</v>
      </c>
      <c r="H92" s="8">
        <v>45202</v>
      </c>
      <c r="I92" s="10" t="s">
        <v>17</v>
      </c>
      <c r="J92" s="10">
        <v>5</v>
      </c>
      <c r="K92" s="15" t="s">
        <v>273</v>
      </c>
      <c r="L92" s="10">
        <v>10</v>
      </c>
    </row>
    <row r="93" spans="1:12" ht="45" x14ac:dyDescent="0.25">
      <c r="A93" s="10">
        <v>93</v>
      </c>
      <c r="B93" s="8">
        <v>45209.6725462963</v>
      </c>
      <c r="C93" t="s">
        <v>32</v>
      </c>
      <c r="D93" s="10"/>
      <c r="E93" s="15" t="s">
        <v>16</v>
      </c>
      <c r="F93" s="15" t="s">
        <v>95</v>
      </c>
      <c r="G93" s="10" t="s">
        <v>274</v>
      </c>
      <c r="H93" s="8">
        <v>45206</v>
      </c>
      <c r="I93" s="10" t="s">
        <v>17</v>
      </c>
      <c r="J93" s="10">
        <v>4</v>
      </c>
      <c r="K93" s="15" t="s">
        <v>275</v>
      </c>
      <c r="L93" s="10">
        <v>9</v>
      </c>
    </row>
    <row r="94" spans="1:12" ht="30" x14ac:dyDescent="0.25">
      <c r="A94" s="7">
        <v>94</v>
      </c>
      <c r="B94" s="8">
        <v>45210.6028703704</v>
      </c>
      <c r="C94" t="s">
        <v>34</v>
      </c>
      <c r="D94" s="9" t="s">
        <v>17</v>
      </c>
      <c r="E94" s="15" t="s">
        <v>11</v>
      </c>
      <c r="F94" s="15" t="s">
        <v>95</v>
      </c>
      <c r="G94" s="10" t="s">
        <v>276</v>
      </c>
      <c r="H94" s="8">
        <v>45203</v>
      </c>
      <c r="I94" s="10" t="s">
        <v>17</v>
      </c>
      <c r="J94" s="10">
        <v>5</v>
      </c>
      <c r="K94" s="15" t="s">
        <v>277</v>
      </c>
      <c r="L94" s="10">
        <v>10</v>
      </c>
    </row>
    <row r="95" spans="1:12" ht="30" x14ac:dyDescent="0.25">
      <c r="A95" s="10">
        <v>95</v>
      </c>
      <c r="B95" s="8">
        <v>45212.344224537002</v>
      </c>
      <c r="C95" t="s">
        <v>37</v>
      </c>
      <c r="D95" s="9" t="s">
        <v>17</v>
      </c>
      <c r="E95" s="15" t="s">
        <v>11</v>
      </c>
      <c r="F95" s="15" t="s">
        <v>95</v>
      </c>
      <c r="G95" s="10" t="s">
        <v>263</v>
      </c>
      <c r="H95" s="8">
        <v>45204</v>
      </c>
      <c r="I95" s="10" t="s">
        <v>17</v>
      </c>
      <c r="J95" s="10">
        <v>5</v>
      </c>
      <c r="K95" s="15" t="s">
        <v>278</v>
      </c>
      <c r="L95" s="10">
        <v>10</v>
      </c>
    </row>
    <row r="96" spans="1:12" ht="30" x14ac:dyDescent="0.25">
      <c r="A96" s="7">
        <v>97</v>
      </c>
      <c r="B96" s="8">
        <v>45216.463113425925</v>
      </c>
      <c r="C96" t="s">
        <v>24</v>
      </c>
      <c r="D96" s="9" t="s">
        <v>17</v>
      </c>
      <c r="E96" s="15" t="s">
        <v>11</v>
      </c>
      <c r="F96" s="15" t="s">
        <v>95</v>
      </c>
      <c r="G96" s="10" t="s">
        <v>276</v>
      </c>
      <c r="H96" s="8">
        <v>45202</v>
      </c>
      <c r="I96" s="10" t="s">
        <v>17</v>
      </c>
      <c r="J96" s="10">
        <v>4</v>
      </c>
      <c r="K96" s="15" t="s">
        <v>279</v>
      </c>
      <c r="L96" s="12">
        <v>9</v>
      </c>
    </row>
    <row r="97" spans="1:12" ht="30" x14ac:dyDescent="0.25">
      <c r="A97" s="10">
        <v>98</v>
      </c>
      <c r="B97" s="8">
        <v>45219.333634259259</v>
      </c>
      <c r="C97" t="s">
        <v>40</v>
      </c>
      <c r="D97" s="9" t="s">
        <v>17</v>
      </c>
      <c r="E97" s="15" t="s">
        <v>11</v>
      </c>
      <c r="F97" s="15" t="s">
        <v>95</v>
      </c>
      <c r="G97" s="10" t="s">
        <v>280</v>
      </c>
      <c r="H97" s="8">
        <v>45216</v>
      </c>
      <c r="I97" s="10" t="s">
        <v>17</v>
      </c>
      <c r="J97" s="10">
        <v>5</v>
      </c>
      <c r="K97" s="15" t="s">
        <v>281</v>
      </c>
      <c r="L97" s="12">
        <v>10</v>
      </c>
    </row>
    <row r="98" spans="1:12" ht="45" x14ac:dyDescent="0.25">
      <c r="A98" s="10">
        <v>99</v>
      </c>
      <c r="B98" s="8">
        <v>45223.514247685183</v>
      </c>
      <c r="C98" t="s">
        <v>38</v>
      </c>
      <c r="D98" s="10"/>
      <c r="E98" s="15" t="s">
        <v>33</v>
      </c>
      <c r="F98" s="15" t="s">
        <v>99</v>
      </c>
      <c r="G98" s="10" t="s">
        <v>282</v>
      </c>
      <c r="H98" s="8">
        <v>45219</v>
      </c>
      <c r="I98" s="10" t="s">
        <v>17</v>
      </c>
      <c r="J98" s="10">
        <v>5</v>
      </c>
      <c r="K98" s="15" t="s">
        <v>283</v>
      </c>
      <c r="L98" s="12">
        <v>10</v>
      </c>
    </row>
    <row r="99" spans="1:12" ht="30" x14ac:dyDescent="0.25">
      <c r="A99" s="7">
        <v>100</v>
      </c>
      <c r="B99" s="8">
        <v>45224.328564814816</v>
      </c>
      <c r="C99" t="s">
        <v>41</v>
      </c>
      <c r="D99" s="10"/>
      <c r="E99" s="15" t="s">
        <v>75</v>
      </c>
      <c r="F99" s="15" t="s">
        <v>95</v>
      </c>
      <c r="G99" s="10" t="s">
        <v>284</v>
      </c>
      <c r="H99" s="8">
        <v>45222</v>
      </c>
      <c r="I99" s="10" t="s">
        <v>17</v>
      </c>
      <c r="J99" s="10">
        <v>5</v>
      </c>
      <c r="K99" s="15" t="s">
        <v>285</v>
      </c>
      <c r="L99" s="12">
        <v>10</v>
      </c>
    </row>
    <row r="100" spans="1:12" ht="30" x14ac:dyDescent="0.25">
      <c r="A100" s="10">
        <v>101</v>
      </c>
      <c r="B100" s="8">
        <v>45225.568506944444</v>
      </c>
      <c r="C100" t="s">
        <v>42</v>
      </c>
      <c r="D100" s="10"/>
      <c r="E100" s="15" t="s">
        <v>33</v>
      </c>
      <c r="F100" s="15" t="s">
        <v>95</v>
      </c>
      <c r="G100" s="10" t="s">
        <v>286</v>
      </c>
      <c r="H100" s="8">
        <v>45224</v>
      </c>
      <c r="I100" s="10" t="s">
        <v>17</v>
      </c>
      <c r="J100" s="10">
        <v>5</v>
      </c>
      <c r="K100" s="15" t="s">
        <v>287</v>
      </c>
      <c r="L100" s="12">
        <v>10</v>
      </c>
    </row>
    <row r="101" spans="1:12" ht="45" x14ac:dyDescent="0.25">
      <c r="A101" s="10">
        <v>102</v>
      </c>
      <c r="B101" s="8">
        <v>45226.430752314816</v>
      </c>
      <c r="C101" t="s">
        <v>43</v>
      </c>
      <c r="D101" s="9" t="s">
        <v>17</v>
      </c>
      <c r="E101" s="15" t="s">
        <v>11</v>
      </c>
      <c r="F101" s="15" t="s">
        <v>95</v>
      </c>
      <c r="G101" s="10" t="s">
        <v>288</v>
      </c>
      <c r="H101" s="8">
        <v>45218</v>
      </c>
      <c r="I101" s="10" t="s">
        <v>13</v>
      </c>
      <c r="J101" s="10">
        <v>2</v>
      </c>
      <c r="K101" s="15" t="s">
        <v>289</v>
      </c>
      <c r="L101" s="12">
        <v>4</v>
      </c>
    </row>
    <row r="102" spans="1:12" ht="45" x14ac:dyDescent="0.25">
      <c r="A102" s="7">
        <v>103</v>
      </c>
      <c r="B102" s="8">
        <v>45229.495497685188</v>
      </c>
      <c r="C102" t="s">
        <v>38</v>
      </c>
      <c r="D102" s="10" t="s">
        <v>290</v>
      </c>
      <c r="E102" s="15" t="s">
        <v>11</v>
      </c>
      <c r="F102" s="15" t="s">
        <v>99</v>
      </c>
      <c r="G102" s="10" t="s">
        <v>291</v>
      </c>
      <c r="H102" s="8">
        <v>45229</v>
      </c>
      <c r="I102" s="10" t="s">
        <v>17</v>
      </c>
      <c r="J102" s="10">
        <v>5</v>
      </c>
      <c r="K102" s="15" t="s">
        <v>292</v>
      </c>
      <c r="L102" s="12">
        <v>8</v>
      </c>
    </row>
    <row r="103" spans="1:12" ht="45" x14ac:dyDescent="0.25">
      <c r="A103" s="10">
        <v>104</v>
      </c>
      <c r="B103" s="8">
        <v>45230.467916666668</v>
      </c>
      <c r="C103" t="s">
        <v>44</v>
      </c>
      <c r="D103" s="10"/>
      <c r="E103" s="15" t="s">
        <v>75</v>
      </c>
      <c r="F103" s="15" t="s">
        <v>99</v>
      </c>
      <c r="G103" s="10" t="s">
        <v>293</v>
      </c>
      <c r="H103" s="8">
        <v>45217</v>
      </c>
      <c r="I103" s="10" t="s">
        <v>17</v>
      </c>
      <c r="J103" s="10">
        <v>5</v>
      </c>
      <c r="K103" s="15" t="s">
        <v>294</v>
      </c>
      <c r="L103" s="12">
        <v>10</v>
      </c>
    </row>
    <row r="104" spans="1:12" ht="45" x14ac:dyDescent="0.25">
      <c r="A104" s="10">
        <v>105</v>
      </c>
      <c r="B104" s="8">
        <v>45231.39744212963</v>
      </c>
      <c r="C104" t="s">
        <v>45</v>
      </c>
      <c r="D104" s="10"/>
      <c r="E104" s="15" t="s">
        <v>75</v>
      </c>
      <c r="F104" s="15" t="s">
        <v>95</v>
      </c>
      <c r="G104" s="10" t="s">
        <v>295</v>
      </c>
      <c r="H104" s="8">
        <v>44642</v>
      </c>
      <c r="I104" s="10" t="s">
        <v>13</v>
      </c>
      <c r="J104" s="10">
        <v>1</v>
      </c>
      <c r="K104" s="15" t="s">
        <v>296</v>
      </c>
      <c r="L104" s="12">
        <v>5</v>
      </c>
    </row>
    <row r="105" spans="1:12" ht="30" x14ac:dyDescent="0.25">
      <c r="A105" s="7">
        <v>106</v>
      </c>
      <c r="B105" s="8">
        <v>45233.473344907405</v>
      </c>
      <c r="C105" t="s">
        <v>43</v>
      </c>
      <c r="D105" s="10"/>
      <c r="E105" s="15" t="s">
        <v>75</v>
      </c>
      <c r="F105" s="15" t="s">
        <v>95</v>
      </c>
      <c r="G105" s="10" t="s">
        <v>297</v>
      </c>
      <c r="H105" s="8">
        <v>45114</v>
      </c>
      <c r="I105" s="10" t="s">
        <v>17</v>
      </c>
      <c r="J105" s="10">
        <v>5</v>
      </c>
      <c r="K105" s="15" t="s">
        <v>298</v>
      </c>
      <c r="L105" s="12">
        <v>10</v>
      </c>
    </row>
    <row r="106" spans="1:12" ht="30" x14ac:dyDescent="0.25">
      <c r="A106" s="10">
        <v>107</v>
      </c>
      <c r="B106" s="8">
        <v>45237.475590277776</v>
      </c>
      <c r="C106" t="s">
        <v>46</v>
      </c>
      <c r="D106" s="10"/>
      <c r="E106" s="15" t="s">
        <v>75</v>
      </c>
      <c r="F106" s="15" t="s">
        <v>95</v>
      </c>
      <c r="G106" s="10" t="s">
        <v>299</v>
      </c>
      <c r="H106" s="8">
        <v>45236</v>
      </c>
      <c r="I106" s="10" t="s">
        <v>17</v>
      </c>
      <c r="J106" s="10">
        <v>5</v>
      </c>
      <c r="K106" s="15" t="s">
        <v>300</v>
      </c>
      <c r="L106" s="12">
        <v>10</v>
      </c>
    </row>
    <row r="107" spans="1:12" ht="60" x14ac:dyDescent="0.25">
      <c r="A107" s="10">
        <v>108</v>
      </c>
      <c r="B107" s="8">
        <v>45239.537326388891</v>
      </c>
      <c r="C107" t="s">
        <v>47</v>
      </c>
      <c r="D107" s="9" t="s">
        <v>17</v>
      </c>
      <c r="E107" s="15" t="s">
        <v>26</v>
      </c>
      <c r="F107" s="15" t="s">
        <v>95</v>
      </c>
      <c r="G107" s="10" t="s">
        <v>301</v>
      </c>
      <c r="H107" s="8">
        <v>45238</v>
      </c>
      <c r="I107" s="10" t="s">
        <v>17</v>
      </c>
      <c r="J107" s="10">
        <v>4</v>
      </c>
      <c r="K107" s="15" t="s">
        <v>302</v>
      </c>
      <c r="L107" s="12">
        <v>10</v>
      </c>
    </row>
    <row r="108" spans="1:12" ht="30" x14ac:dyDescent="0.25">
      <c r="A108" s="7">
        <v>109</v>
      </c>
      <c r="B108" s="8">
        <v>45243.644212962965</v>
      </c>
      <c r="C108" t="s">
        <v>38</v>
      </c>
      <c r="D108" s="10" t="s">
        <v>303</v>
      </c>
      <c r="E108" s="15" t="s">
        <v>75</v>
      </c>
      <c r="F108" s="15" t="s">
        <v>36</v>
      </c>
      <c r="G108" s="10" t="s">
        <v>303</v>
      </c>
      <c r="H108" s="8">
        <v>45240</v>
      </c>
      <c r="I108" s="10" t="s">
        <v>17</v>
      </c>
      <c r="J108" s="10">
        <v>5</v>
      </c>
      <c r="K108" s="15" t="s">
        <v>304</v>
      </c>
      <c r="L108" s="12">
        <v>10</v>
      </c>
    </row>
    <row r="109" spans="1:12" x14ac:dyDescent="0.25">
      <c r="A109" s="10">
        <v>110</v>
      </c>
      <c r="B109" s="8">
        <v>45250.708067129628</v>
      </c>
      <c r="C109" t="s">
        <v>38</v>
      </c>
      <c r="D109" s="9" t="s">
        <v>17</v>
      </c>
      <c r="E109" s="15" t="s">
        <v>16</v>
      </c>
      <c r="F109" s="15" t="s">
        <v>96</v>
      </c>
      <c r="G109" s="10" t="s">
        <v>305</v>
      </c>
      <c r="H109" s="8">
        <v>45250</v>
      </c>
      <c r="I109" s="10" t="s">
        <v>17</v>
      </c>
      <c r="J109" s="10">
        <v>5</v>
      </c>
      <c r="K109" s="15" t="s">
        <v>306</v>
      </c>
      <c r="L109" s="12">
        <v>10</v>
      </c>
    </row>
    <row r="110" spans="1:12" ht="105" x14ac:dyDescent="0.25">
      <c r="A110" s="10">
        <v>111</v>
      </c>
      <c r="B110" s="8">
        <v>45253.656817129631</v>
      </c>
      <c r="C110" t="s">
        <v>49</v>
      </c>
      <c r="D110" s="10"/>
      <c r="E110" s="15" t="s">
        <v>23</v>
      </c>
      <c r="F110" s="15" t="s">
        <v>36</v>
      </c>
      <c r="G110" s="10" t="s">
        <v>307</v>
      </c>
      <c r="H110" s="8">
        <v>44910</v>
      </c>
      <c r="I110" s="10" t="s">
        <v>13</v>
      </c>
      <c r="J110" s="10">
        <v>1</v>
      </c>
      <c r="K110" s="15" t="s">
        <v>308</v>
      </c>
      <c r="L110" s="12">
        <v>1</v>
      </c>
    </row>
    <row r="111" spans="1:12" ht="45" x14ac:dyDescent="0.25">
      <c r="A111" s="7">
        <v>112</v>
      </c>
      <c r="B111" s="8">
        <v>45255.465636574074</v>
      </c>
      <c r="C111" t="s">
        <v>50</v>
      </c>
      <c r="D111" s="10"/>
      <c r="E111" s="15" t="s">
        <v>33</v>
      </c>
      <c r="F111" s="15" t="s">
        <v>99</v>
      </c>
      <c r="G111" s="10" t="s">
        <v>309</v>
      </c>
      <c r="H111" s="8">
        <v>45254</v>
      </c>
      <c r="I111" s="10" t="s">
        <v>17</v>
      </c>
      <c r="J111" s="10">
        <v>5</v>
      </c>
      <c r="K111" s="15" t="s">
        <v>310</v>
      </c>
      <c r="L111" s="12">
        <v>10</v>
      </c>
    </row>
    <row r="112" spans="1:12" ht="30" x14ac:dyDescent="0.25">
      <c r="A112" s="10">
        <v>113</v>
      </c>
      <c r="B112" s="8">
        <v>45260.721365740741</v>
      </c>
      <c r="C112" t="s">
        <v>51</v>
      </c>
      <c r="D112" s="10" t="s">
        <v>311</v>
      </c>
      <c r="E112" s="15" t="s">
        <v>33</v>
      </c>
      <c r="F112" s="15" t="s">
        <v>95</v>
      </c>
      <c r="G112" s="10" t="s">
        <v>312</v>
      </c>
      <c r="H112" s="8">
        <v>45258</v>
      </c>
      <c r="I112" s="10" t="s">
        <v>13</v>
      </c>
      <c r="J112" s="10">
        <v>1</v>
      </c>
      <c r="K112" s="15" t="s">
        <v>313</v>
      </c>
      <c r="L112" s="12">
        <v>1</v>
      </c>
    </row>
    <row r="113" spans="1:12" ht="30" x14ac:dyDescent="0.25">
      <c r="A113" s="10">
        <v>114</v>
      </c>
      <c r="B113" s="8">
        <v>45261.715219907404</v>
      </c>
      <c r="C113" t="s">
        <v>52</v>
      </c>
      <c r="D113" s="9"/>
      <c r="E113" s="16" t="s">
        <v>26</v>
      </c>
      <c r="F113" s="16" t="s">
        <v>95</v>
      </c>
      <c r="G113" s="9" t="s">
        <v>159</v>
      </c>
      <c r="H113" s="11">
        <v>45250</v>
      </c>
      <c r="I113" s="9" t="s">
        <v>17</v>
      </c>
      <c r="J113" s="9">
        <v>5</v>
      </c>
      <c r="K113" s="16" t="s">
        <v>314</v>
      </c>
      <c r="L113" s="9">
        <v>10</v>
      </c>
    </row>
    <row r="114" spans="1:12" ht="45" x14ac:dyDescent="0.25">
      <c r="A114" s="7">
        <v>115</v>
      </c>
      <c r="B114" s="8">
        <v>45265.517731481479</v>
      </c>
      <c r="C114" t="s">
        <v>53</v>
      </c>
      <c r="D114" s="9" t="s">
        <v>17</v>
      </c>
      <c r="E114" s="15" t="s">
        <v>75</v>
      </c>
      <c r="F114" s="16" t="s">
        <v>95</v>
      </c>
      <c r="G114" s="9" t="s">
        <v>315</v>
      </c>
      <c r="H114" s="11">
        <v>45258</v>
      </c>
      <c r="I114" s="9" t="s">
        <v>13</v>
      </c>
      <c r="J114" s="9">
        <v>1</v>
      </c>
      <c r="K114" s="16" t="s">
        <v>316</v>
      </c>
      <c r="L114" s="9">
        <v>2</v>
      </c>
    </row>
    <row r="115" spans="1:12" ht="45" x14ac:dyDescent="0.25">
      <c r="A115" s="10">
        <v>116</v>
      </c>
      <c r="B115" s="8">
        <v>45265.675937499997</v>
      </c>
      <c r="C115" t="s">
        <v>52</v>
      </c>
      <c r="D115" s="9"/>
      <c r="E115" s="15" t="s">
        <v>75</v>
      </c>
      <c r="F115" s="16" t="s">
        <v>36</v>
      </c>
      <c r="G115" s="9" t="s">
        <v>119</v>
      </c>
      <c r="H115" s="11">
        <v>45264</v>
      </c>
      <c r="I115" s="9" t="s">
        <v>17</v>
      </c>
      <c r="J115" s="9">
        <v>3</v>
      </c>
      <c r="K115" s="16" t="s">
        <v>317</v>
      </c>
      <c r="L115" s="9">
        <v>10</v>
      </c>
    </row>
    <row r="116" spans="1:12" x14ac:dyDescent="0.25">
      <c r="A116" s="10">
        <v>117</v>
      </c>
      <c r="B116" s="8">
        <v>45267.591874999998</v>
      </c>
      <c r="C116" t="s">
        <v>54</v>
      </c>
      <c r="D116" s="10"/>
      <c r="E116" s="15" t="s">
        <v>33</v>
      </c>
      <c r="F116" s="15" t="s">
        <v>36</v>
      </c>
      <c r="G116" s="10" t="s">
        <v>318</v>
      </c>
      <c r="H116" s="8">
        <v>45264</v>
      </c>
      <c r="I116" s="10" t="s">
        <v>17</v>
      </c>
      <c r="J116" s="10">
        <v>5</v>
      </c>
      <c r="K116" s="15"/>
      <c r="L116" s="12">
        <v>10</v>
      </c>
    </row>
    <row r="117" spans="1:12" ht="45" x14ac:dyDescent="0.25">
      <c r="A117" s="7">
        <v>118</v>
      </c>
      <c r="B117" s="8">
        <v>45269.700601851902</v>
      </c>
      <c r="C117" t="s">
        <v>55</v>
      </c>
      <c r="D117" s="10"/>
      <c r="E117" s="15" t="s">
        <v>11</v>
      </c>
      <c r="F117" s="15" t="s">
        <v>99</v>
      </c>
      <c r="G117" s="10" t="s">
        <v>319</v>
      </c>
      <c r="H117" s="8">
        <v>45267</v>
      </c>
      <c r="I117" s="10" t="s">
        <v>17</v>
      </c>
      <c r="J117" s="10">
        <v>5</v>
      </c>
      <c r="K117" s="15"/>
      <c r="L117" s="12">
        <v>10</v>
      </c>
    </row>
    <row r="118" spans="1:12" x14ac:dyDescent="0.25">
      <c r="A118" s="10">
        <v>119</v>
      </c>
      <c r="B118" s="8">
        <v>45274.421759259261</v>
      </c>
      <c r="C118" t="s">
        <v>56</v>
      </c>
      <c r="D118" s="13"/>
      <c r="E118" s="15" t="s">
        <v>33</v>
      </c>
      <c r="F118" s="15" t="s">
        <v>36</v>
      </c>
      <c r="G118" s="10" t="s">
        <v>320</v>
      </c>
      <c r="H118" s="8">
        <v>45272</v>
      </c>
      <c r="I118" s="10" t="s">
        <v>17</v>
      </c>
      <c r="J118" s="10">
        <v>5</v>
      </c>
      <c r="K118" s="15"/>
      <c r="L118" s="12">
        <v>10</v>
      </c>
    </row>
  </sheetData>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38A74-ACF1-4649-BD45-8079883B5EFD}">
  <dimension ref="B3:S78"/>
  <sheetViews>
    <sheetView showGridLines="0" topLeftCell="D1" workbookViewId="0">
      <selection activeCell="S18" sqref="S18:S20"/>
    </sheetView>
  </sheetViews>
  <sheetFormatPr defaultRowHeight="15" x14ac:dyDescent="0.25"/>
  <cols>
    <col min="1" max="1" width="4" customWidth="1"/>
    <col min="3" max="3" width="20.5703125" customWidth="1"/>
    <col min="4" max="4" width="7.5703125" customWidth="1"/>
    <col min="5" max="5" width="40.140625" customWidth="1"/>
    <col min="6" max="6" width="9.140625" customWidth="1"/>
    <col min="7" max="7" width="31.7109375" customWidth="1"/>
    <col min="8" max="8" width="8.28515625" customWidth="1"/>
    <col min="9" max="9" width="10.5703125" customWidth="1"/>
    <col min="10" max="10" width="19.7109375" customWidth="1"/>
    <col min="11" max="11" width="20.5703125" style="18" customWidth="1"/>
    <col min="12" max="12" width="19.7109375" style="18" customWidth="1"/>
    <col min="13" max="13" width="20.5703125" customWidth="1"/>
    <col min="14" max="14" width="17.140625" customWidth="1"/>
  </cols>
  <sheetData>
    <row r="3" spans="2:16" x14ac:dyDescent="0.25">
      <c r="C3" s="21" t="s">
        <v>323</v>
      </c>
      <c r="D3" s="22"/>
      <c r="E3" s="22"/>
      <c r="F3" s="22"/>
      <c r="G3" s="22"/>
      <c r="H3" s="22"/>
      <c r="I3" s="22"/>
      <c r="J3" s="22"/>
      <c r="K3" s="23"/>
    </row>
    <row r="4" spans="2:16" x14ac:dyDescent="0.25">
      <c r="C4" s="24" t="s">
        <v>324</v>
      </c>
      <c r="K4" s="25"/>
    </row>
    <row r="5" spans="2:16" x14ac:dyDescent="0.25">
      <c r="C5" s="24"/>
      <c r="D5" s="18">
        <v>1</v>
      </c>
      <c r="E5" t="s">
        <v>325</v>
      </c>
      <c r="K5" s="25"/>
    </row>
    <row r="6" spans="2:16" x14ac:dyDescent="0.25">
      <c r="C6" s="24"/>
      <c r="D6" s="18">
        <v>2</v>
      </c>
      <c r="E6" t="s">
        <v>326</v>
      </c>
      <c r="K6" s="25"/>
    </row>
    <row r="7" spans="2:16" x14ac:dyDescent="0.25">
      <c r="C7" s="26" t="s">
        <v>327</v>
      </c>
      <c r="D7" s="27"/>
      <c r="E7" s="27"/>
      <c r="F7" s="27"/>
      <c r="G7" s="27"/>
      <c r="H7" s="27"/>
      <c r="I7" s="27"/>
      <c r="J7" s="27"/>
      <c r="K7" s="28"/>
    </row>
    <row r="10" spans="2:16" ht="75" x14ac:dyDescent="0.25">
      <c r="B10" s="19">
        <f>68/117</f>
        <v>0.58119658119658124</v>
      </c>
      <c r="C10" s="48" t="s">
        <v>1</v>
      </c>
      <c r="D10" s="38" t="s">
        <v>322</v>
      </c>
      <c r="E10" s="30" t="s">
        <v>2</v>
      </c>
      <c r="F10" s="38" t="s">
        <v>322</v>
      </c>
      <c r="G10" s="30" t="s">
        <v>3</v>
      </c>
      <c r="H10" s="29" t="s">
        <v>322</v>
      </c>
      <c r="I10" s="38" t="s">
        <v>328</v>
      </c>
      <c r="J10" s="30" t="s">
        <v>6</v>
      </c>
      <c r="K10" s="38" t="s">
        <v>322</v>
      </c>
      <c r="L10" s="43" t="s">
        <v>321</v>
      </c>
      <c r="M10" s="38" t="s">
        <v>322</v>
      </c>
      <c r="N10" s="37" t="s">
        <v>9</v>
      </c>
      <c r="O10" s="38" t="s">
        <v>322</v>
      </c>
    </row>
    <row r="11" spans="2:16" x14ac:dyDescent="0.25">
      <c r="C11" s="44" t="s">
        <v>92</v>
      </c>
      <c r="D11" s="40">
        <f>COUNTIFS('Feedback data sheet'!C:C,C11)</f>
        <v>1</v>
      </c>
      <c r="E11" s="31" t="s">
        <v>16</v>
      </c>
      <c r="F11" s="40">
        <f>COUNTIFS('Feedback data sheet'!E:E,E11)</f>
        <v>6</v>
      </c>
      <c r="G11" s="31" t="s">
        <v>36</v>
      </c>
      <c r="H11" s="32">
        <f>COUNTIFS('Feedback data sheet'!F:F,G11)</f>
        <v>14</v>
      </c>
      <c r="I11" s="45">
        <f>H11/117</f>
        <v>0.11965811965811966</v>
      </c>
      <c r="J11" s="35" t="s">
        <v>13</v>
      </c>
      <c r="K11" s="40">
        <f>COUNTIFS('Feedback data sheet'!I:I,J11)</f>
        <v>21</v>
      </c>
      <c r="L11" s="39">
        <v>1</v>
      </c>
      <c r="M11" s="40">
        <f>COUNTIFS('Feedback data sheet'!J:J,L11)</f>
        <v>12</v>
      </c>
      <c r="N11" s="39">
        <v>1</v>
      </c>
      <c r="O11" s="40">
        <f>COUNTIFS('Feedback data sheet'!L:L,N11)</f>
        <v>9</v>
      </c>
      <c r="P11" s="19">
        <f t="shared" ref="P11:P19" si="0">O11/117</f>
        <v>7.6923076923076927E-2</v>
      </c>
    </row>
    <row r="12" spans="2:16" x14ac:dyDescent="0.25">
      <c r="C12" s="46" t="s">
        <v>61</v>
      </c>
      <c r="D12" s="42">
        <f>COUNTIFS('Feedback data sheet'!C:C,C12)</f>
        <v>1</v>
      </c>
      <c r="E12" s="33" t="s">
        <v>33</v>
      </c>
      <c r="F12" s="42">
        <f>COUNTIFS('Feedback data sheet'!E:E,E12)</f>
        <v>29</v>
      </c>
      <c r="G12" s="33" t="s">
        <v>95</v>
      </c>
      <c r="H12" s="34">
        <f>COUNTIFS('Feedback data sheet'!F:F,G12)</f>
        <v>69</v>
      </c>
      <c r="I12" s="47">
        <f t="shared" ref="I12:I16" si="1">H12/117</f>
        <v>0.58974358974358976</v>
      </c>
      <c r="J12" s="36" t="s">
        <v>17</v>
      </c>
      <c r="K12" s="42">
        <f>COUNTIFS('Feedback data sheet'!I:I,J12)</f>
        <v>96</v>
      </c>
      <c r="L12" s="41">
        <v>2</v>
      </c>
      <c r="M12" s="42">
        <f>COUNTIFS('Feedback data sheet'!J:J,L12)</f>
        <v>4</v>
      </c>
      <c r="N12" s="41">
        <v>2</v>
      </c>
      <c r="O12" s="42">
        <f>COUNTIFS('Feedback data sheet'!L:L,N12)</f>
        <v>2</v>
      </c>
      <c r="P12" s="19">
        <f t="shared" si="0"/>
        <v>1.7094017094017096E-2</v>
      </c>
    </row>
    <row r="13" spans="2:16" x14ac:dyDescent="0.25">
      <c r="C13" s="46" t="s">
        <v>38</v>
      </c>
      <c r="D13" s="42">
        <f>COUNTIFS('Feedback data sheet'!C:C,C13)</f>
        <v>8</v>
      </c>
      <c r="E13" s="33" t="s">
        <v>11</v>
      </c>
      <c r="F13" s="42">
        <f>COUNTIFS('Feedback data sheet'!E:E,E13)</f>
        <v>33</v>
      </c>
      <c r="G13" s="33" t="s">
        <v>29</v>
      </c>
      <c r="H13" s="34">
        <f>COUNTIFS('Feedback data sheet'!F:F,G13)</f>
        <v>2</v>
      </c>
      <c r="I13" s="47">
        <f t="shared" si="1"/>
        <v>1.7094017094017096E-2</v>
      </c>
      <c r="K13" s="20">
        <f>K12/SUM(K11:K12)</f>
        <v>0.82051282051282048</v>
      </c>
      <c r="L13" s="41">
        <v>3</v>
      </c>
      <c r="M13" s="42">
        <f>COUNTIFS('Feedback data sheet'!J:J,L13)</f>
        <v>7</v>
      </c>
      <c r="N13" s="41">
        <v>3</v>
      </c>
      <c r="O13" s="42">
        <f>COUNTIFS('Feedback data sheet'!L:L,N13)</f>
        <v>2</v>
      </c>
      <c r="P13" s="19">
        <f t="shared" si="0"/>
        <v>1.7094017094017096E-2</v>
      </c>
    </row>
    <row r="14" spans="2:16" x14ac:dyDescent="0.25">
      <c r="C14" s="46" t="s">
        <v>87</v>
      </c>
      <c r="D14" s="42">
        <f>COUNTIFS('Feedback data sheet'!C:C,C14)</f>
        <v>1</v>
      </c>
      <c r="E14" s="33" t="s">
        <v>26</v>
      </c>
      <c r="F14" s="42">
        <f>COUNTIFS('Feedback data sheet'!E:E,E14)</f>
        <v>3</v>
      </c>
      <c r="G14" s="33" t="s">
        <v>96</v>
      </c>
      <c r="H14" s="34">
        <f>COUNTIFS('Feedback data sheet'!F:F,G14)</f>
        <v>3</v>
      </c>
      <c r="I14" s="47">
        <f t="shared" si="1"/>
        <v>2.564102564102564E-2</v>
      </c>
      <c r="K14"/>
      <c r="L14" s="41">
        <v>4</v>
      </c>
      <c r="M14" s="42">
        <f>COUNTIFS('Feedback data sheet'!J:J,L14)</f>
        <v>13</v>
      </c>
      <c r="N14" s="41">
        <v>4</v>
      </c>
      <c r="O14" s="42">
        <f>COUNTIFS('Feedback data sheet'!L:L,N14)</f>
        <v>2</v>
      </c>
      <c r="P14" s="19">
        <f t="shared" si="0"/>
        <v>1.7094017094017096E-2</v>
      </c>
    </row>
    <row r="15" spans="2:16" x14ac:dyDescent="0.25">
      <c r="C15" s="46" t="s">
        <v>19</v>
      </c>
      <c r="D15" s="42">
        <f>COUNTIFS('Feedback data sheet'!C:C,C15)</f>
        <v>2</v>
      </c>
      <c r="E15" s="33" t="s">
        <v>35</v>
      </c>
      <c r="F15" s="42">
        <f>COUNTIFS('Feedback data sheet'!E:E,E15)</f>
        <v>1</v>
      </c>
      <c r="G15" s="33" t="s">
        <v>20</v>
      </c>
      <c r="H15" s="34">
        <f>COUNTIFS('Feedback data sheet'!F:F,G15)</f>
        <v>1</v>
      </c>
      <c r="I15" s="47">
        <f t="shared" si="1"/>
        <v>8.5470085470085479E-3</v>
      </c>
      <c r="K15"/>
      <c r="L15" s="41">
        <v>5</v>
      </c>
      <c r="M15" s="42">
        <f>COUNTIFS('Feedback data sheet'!J:J,L15)</f>
        <v>81</v>
      </c>
      <c r="N15" s="41">
        <v>5</v>
      </c>
      <c r="O15" s="42">
        <f>COUNTIFS('Feedback data sheet'!L:L,N15)</f>
        <v>4</v>
      </c>
      <c r="P15" s="19">
        <f t="shared" si="0"/>
        <v>3.4188034188034191E-2</v>
      </c>
    </row>
    <row r="16" spans="2:16" x14ac:dyDescent="0.25">
      <c r="C16" s="46" t="s">
        <v>63</v>
      </c>
      <c r="D16" s="42">
        <f>COUNTIFS('Feedback data sheet'!C:C,C16)</f>
        <v>1</v>
      </c>
      <c r="E16" s="33" t="s">
        <v>75</v>
      </c>
      <c r="F16" s="42">
        <f>COUNTIFS('Feedback data sheet'!E:E,E16)</f>
        <v>35</v>
      </c>
      <c r="G16" s="33" t="s">
        <v>99</v>
      </c>
      <c r="H16" s="34">
        <f>COUNTIFS('Feedback data sheet'!F:F,G16)</f>
        <v>28</v>
      </c>
      <c r="I16" s="47">
        <f t="shared" si="1"/>
        <v>0.23931623931623933</v>
      </c>
      <c r="K16"/>
      <c r="M16" s="20">
        <f>M15/117</f>
        <v>0.69230769230769229</v>
      </c>
      <c r="N16" s="41">
        <v>6</v>
      </c>
      <c r="O16" s="42">
        <f>COUNTIFS('Feedback data sheet'!L:L,N16)</f>
        <v>1</v>
      </c>
      <c r="P16" s="19">
        <f t="shared" si="0"/>
        <v>8.5470085470085479E-3</v>
      </c>
    </row>
    <row r="17" spans="3:19" x14ac:dyDescent="0.25">
      <c r="C17" s="46" t="s">
        <v>15</v>
      </c>
      <c r="D17" s="42">
        <f>COUNTIFS('Feedback data sheet'!C:C,C17)</f>
        <v>2</v>
      </c>
      <c r="E17" s="33" t="s">
        <v>23</v>
      </c>
      <c r="F17" s="42">
        <f>COUNTIFS('Feedback data sheet'!E:E,E17)</f>
        <v>2</v>
      </c>
      <c r="K17"/>
      <c r="M17" s="18"/>
      <c r="N17" s="41">
        <v>7</v>
      </c>
      <c r="O17" s="42">
        <f>COUNTIFS('Feedback data sheet'!L:L,N17)</f>
        <v>4</v>
      </c>
      <c r="P17" s="19">
        <f t="shared" si="0"/>
        <v>3.4188034188034191E-2</v>
      </c>
    </row>
    <row r="18" spans="3:19" x14ac:dyDescent="0.25">
      <c r="C18" s="46" t="s">
        <v>55</v>
      </c>
      <c r="D18" s="42">
        <f>COUNTIFS('Feedback data sheet'!C:C,C18)</f>
        <v>2</v>
      </c>
      <c r="E18" s="33" t="s">
        <v>100</v>
      </c>
      <c r="F18" s="42">
        <f>COUNTIFS('Feedback data sheet'!E:E,E18)</f>
        <v>8</v>
      </c>
      <c r="K18"/>
      <c r="M18" s="18"/>
      <c r="N18" s="41">
        <v>8</v>
      </c>
      <c r="O18" s="42">
        <f>COUNTIFS('Feedback data sheet'!L:L,N18)</f>
        <v>7</v>
      </c>
      <c r="P18" s="19">
        <f t="shared" si="0"/>
        <v>5.9829059829059832E-2</v>
      </c>
      <c r="R18" s="53">
        <f>SUM(P11:P16)</f>
        <v>0.17094017094017092</v>
      </c>
      <c r="S18" t="s">
        <v>337</v>
      </c>
    </row>
    <row r="19" spans="3:19" x14ac:dyDescent="0.25">
      <c r="C19" s="46" t="s">
        <v>77</v>
      </c>
      <c r="D19" s="42">
        <f>COUNTIFS('Feedback data sheet'!C:C,C19)</f>
        <v>1</v>
      </c>
      <c r="K19"/>
      <c r="M19" s="18"/>
      <c r="N19" s="41">
        <v>9</v>
      </c>
      <c r="O19" s="42">
        <f>COUNTIFS('Feedback data sheet'!L:L,N19)</f>
        <v>8</v>
      </c>
      <c r="P19" s="19">
        <f t="shared" si="0"/>
        <v>6.8376068376068383E-2</v>
      </c>
      <c r="R19" s="53">
        <f>P19+P20</f>
        <v>0.73504273504273498</v>
      </c>
      <c r="S19" t="s">
        <v>336</v>
      </c>
    </row>
    <row r="20" spans="3:19" x14ac:dyDescent="0.25">
      <c r="C20" s="46" t="s">
        <v>59</v>
      </c>
      <c r="D20" s="42">
        <f>COUNTIFS('Feedback data sheet'!C:C,C20)</f>
        <v>1</v>
      </c>
      <c r="K20"/>
      <c r="M20" s="18"/>
      <c r="N20" s="41">
        <v>10</v>
      </c>
      <c r="O20" s="42">
        <f>COUNTIFS('Feedback data sheet'!L:L,N20)</f>
        <v>78</v>
      </c>
      <c r="P20" s="19">
        <f>O20/117</f>
        <v>0.66666666666666663</v>
      </c>
      <c r="R20" s="54">
        <f>R19-R18</f>
        <v>0.5641025641025641</v>
      </c>
      <c r="S20" t="s">
        <v>338</v>
      </c>
    </row>
    <row r="21" spans="3:19" x14ac:dyDescent="0.25">
      <c r="C21" s="46" t="s">
        <v>83</v>
      </c>
      <c r="D21" s="42">
        <f>COUNTIFS('Feedback data sheet'!C:C,C21)</f>
        <v>1</v>
      </c>
    </row>
    <row r="22" spans="3:19" x14ac:dyDescent="0.25">
      <c r="C22" s="46" t="s">
        <v>74</v>
      </c>
      <c r="D22" s="42">
        <f>COUNTIFS('Feedback data sheet'!C:C,C22)</f>
        <v>1</v>
      </c>
    </row>
    <row r="23" spans="3:19" x14ac:dyDescent="0.25">
      <c r="C23" s="46" t="s">
        <v>69</v>
      </c>
      <c r="D23" s="42">
        <f>COUNTIFS('Feedback data sheet'!C:C,C23)</f>
        <v>1</v>
      </c>
    </row>
    <row r="24" spans="3:19" x14ac:dyDescent="0.25">
      <c r="C24" s="46" t="s">
        <v>45</v>
      </c>
      <c r="D24" s="42">
        <f>COUNTIFS('Feedback data sheet'!C:C,C24)</f>
        <v>2</v>
      </c>
    </row>
    <row r="25" spans="3:19" x14ac:dyDescent="0.25">
      <c r="C25" s="46" t="s">
        <v>56</v>
      </c>
      <c r="D25" s="42">
        <f>COUNTIFS('Feedback data sheet'!C:C,C25)</f>
        <v>2</v>
      </c>
    </row>
    <row r="26" spans="3:19" x14ac:dyDescent="0.25">
      <c r="C26" s="46" t="s">
        <v>76</v>
      </c>
      <c r="D26" s="42">
        <f>COUNTIFS('Feedback data sheet'!C:C,C26)</f>
        <v>1</v>
      </c>
    </row>
    <row r="27" spans="3:19" x14ac:dyDescent="0.25">
      <c r="C27" s="46" t="s">
        <v>64</v>
      </c>
      <c r="D27" s="42">
        <f>COUNTIFS('Feedback data sheet'!C:C,C27)</f>
        <v>2</v>
      </c>
    </row>
    <row r="28" spans="3:19" x14ac:dyDescent="0.25">
      <c r="C28" s="46" t="s">
        <v>70</v>
      </c>
      <c r="D28" s="42">
        <f>COUNTIFS('Feedback data sheet'!C:C,C28)</f>
        <v>1</v>
      </c>
    </row>
    <row r="29" spans="3:19" x14ac:dyDescent="0.25">
      <c r="C29" s="46" t="s">
        <v>24</v>
      </c>
      <c r="D29" s="42">
        <f>COUNTIFS('Feedback data sheet'!C:C,C29)</f>
        <v>4</v>
      </c>
    </row>
    <row r="30" spans="3:19" x14ac:dyDescent="0.25">
      <c r="C30" s="46" t="s">
        <v>85</v>
      </c>
      <c r="D30" s="42">
        <f>COUNTIFS('Feedback data sheet'!C:C,C30)</f>
        <v>1</v>
      </c>
    </row>
    <row r="31" spans="3:19" x14ac:dyDescent="0.25">
      <c r="C31" s="46" t="s">
        <v>18</v>
      </c>
      <c r="D31" s="42">
        <f>COUNTIFS('Feedback data sheet'!C:C,C31)</f>
        <v>2</v>
      </c>
    </row>
    <row r="32" spans="3:19" x14ac:dyDescent="0.25">
      <c r="C32" s="46" t="s">
        <v>67</v>
      </c>
      <c r="D32" s="42">
        <f>COUNTIFS('Feedback data sheet'!C:C,C32)</f>
        <v>1</v>
      </c>
    </row>
    <row r="33" spans="3:4" x14ac:dyDescent="0.25">
      <c r="C33" s="46" t="s">
        <v>10</v>
      </c>
      <c r="D33" s="42">
        <f>COUNTIFS('Feedback data sheet'!C:C,C33)</f>
        <v>2</v>
      </c>
    </row>
    <row r="34" spans="3:4" x14ac:dyDescent="0.25">
      <c r="C34" s="46" t="s">
        <v>48</v>
      </c>
      <c r="D34" s="42">
        <f>COUNTIFS('Feedback data sheet'!C:C,C34)</f>
        <v>1</v>
      </c>
    </row>
    <row r="35" spans="3:4" x14ac:dyDescent="0.25">
      <c r="C35" s="46" t="s">
        <v>40</v>
      </c>
      <c r="D35" s="42">
        <f>COUNTIFS('Feedback data sheet'!C:C,C35)</f>
        <v>2</v>
      </c>
    </row>
    <row r="36" spans="3:4" x14ac:dyDescent="0.25">
      <c r="C36" s="46" t="s">
        <v>44</v>
      </c>
      <c r="D36" s="42">
        <f>COUNTIFS('Feedback data sheet'!C:C,C36)</f>
        <v>2</v>
      </c>
    </row>
    <row r="37" spans="3:4" x14ac:dyDescent="0.25">
      <c r="C37" s="46" t="s">
        <v>57</v>
      </c>
      <c r="D37" s="42">
        <f>COUNTIFS('Feedback data sheet'!C:C,C37)</f>
        <v>1</v>
      </c>
    </row>
    <row r="38" spans="3:4" x14ac:dyDescent="0.25">
      <c r="C38" s="46" t="s">
        <v>79</v>
      </c>
      <c r="D38" s="42">
        <f>COUNTIFS('Feedback data sheet'!C:C,C38)</f>
        <v>1</v>
      </c>
    </row>
    <row r="39" spans="3:4" x14ac:dyDescent="0.25">
      <c r="C39" s="46" t="s">
        <v>53</v>
      </c>
      <c r="D39" s="42">
        <f>COUNTIFS('Feedback data sheet'!C:C,C39)</f>
        <v>3</v>
      </c>
    </row>
    <row r="40" spans="3:4" x14ac:dyDescent="0.25">
      <c r="C40" s="46" t="s">
        <v>51</v>
      </c>
      <c r="D40" s="42">
        <f>COUNTIFS('Feedback data sheet'!C:C,C40)</f>
        <v>1</v>
      </c>
    </row>
    <row r="41" spans="3:4" x14ac:dyDescent="0.25">
      <c r="C41" s="46" t="s">
        <v>80</v>
      </c>
      <c r="D41" s="42">
        <f>COUNTIFS('Feedback data sheet'!C:C,C41)</f>
        <v>2</v>
      </c>
    </row>
    <row r="42" spans="3:4" x14ac:dyDescent="0.25">
      <c r="C42" s="46" t="s">
        <v>25</v>
      </c>
      <c r="D42" s="42">
        <f>COUNTIFS('Feedback data sheet'!C:C,C42)</f>
        <v>2</v>
      </c>
    </row>
    <row r="43" spans="3:4" x14ac:dyDescent="0.25">
      <c r="C43" s="46" t="s">
        <v>84</v>
      </c>
      <c r="D43" s="42">
        <f>COUNTIFS('Feedback data sheet'!C:C,C43)</f>
        <v>1</v>
      </c>
    </row>
    <row r="44" spans="3:4" x14ac:dyDescent="0.25">
      <c r="C44" s="46" t="s">
        <v>81</v>
      </c>
      <c r="D44" s="42">
        <f>COUNTIFS('Feedback data sheet'!C:C,C44)</f>
        <v>1</v>
      </c>
    </row>
    <row r="45" spans="3:4" x14ac:dyDescent="0.25">
      <c r="C45" s="46" t="s">
        <v>91</v>
      </c>
      <c r="D45" s="42">
        <f>COUNTIFS('Feedback data sheet'!C:C,C45)</f>
        <v>1</v>
      </c>
    </row>
    <row r="46" spans="3:4" x14ac:dyDescent="0.25">
      <c r="C46" s="46" t="s">
        <v>41</v>
      </c>
      <c r="D46" s="42">
        <f>COUNTIFS('Feedback data sheet'!C:C,C46)</f>
        <v>2</v>
      </c>
    </row>
    <row r="47" spans="3:4" x14ac:dyDescent="0.25">
      <c r="C47" s="46" t="s">
        <v>21</v>
      </c>
      <c r="D47" s="42">
        <f>COUNTIFS('Feedback data sheet'!C:C,C47)</f>
        <v>2</v>
      </c>
    </row>
    <row r="48" spans="3:4" x14ac:dyDescent="0.25">
      <c r="C48" s="46" t="s">
        <v>27</v>
      </c>
      <c r="D48" s="42">
        <f>COUNTIFS('Feedback data sheet'!C:C,C48)</f>
        <v>2</v>
      </c>
    </row>
    <row r="49" spans="3:4" x14ac:dyDescent="0.25">
      <c r="C49" s="46" t="s">
        <v>86</v>
      </c>
      <c r="D49" s="42">
        <f>COUNTIFS('Feedback data sheet'!C:C,C49)</f>
        <v>1</v>
      </c>
    </row>
    <row r="50" spans="3:4" x14ac:dyDescent="0.25">
      <c r="C50" s="46" t="s">
        <v>72</v>
      </c>
      <c r="D50" s="42">
        <f>COUNTIFS('Feedback data sheet'!C:C,C50)</f>
        <v>1</v>
      </c>
    </row>
    <row r="51" spans="3:4" x14ac:dyDescent="0.25">
      <c r="C51" s="46" t="s">
        <v>60</v>
      </c>
      <c r="D51" s="42">
        <f>COUNTIFS('Feedback data sheet'!C:C,C51)</f>
        <v>1</v>
      </c>
    </row>
    <row r="52" spans="3:4" x14ac:dyDescent="0.25">
      <c r="C52" s="46" t="s">
        <v>46</v>
      </c>
      <c r="D52" s="42">
        <f>COUNTIFS('Feedback data sheet'!C:C,C52)</f>
        <v>2</v>
      </c>
    </row>
    <row r="53" spans="3:4" x14ac:dyDescent="0.25">
      <c r="C53" s="46" t="s">
        <v>89</v>
      </c>
      <c r="D53" s="42">
        <f>COUNTIFS('Feedback data sheet'!C:C,C53)</f>
        <v>1</v>
      </c>
    </row>
    <row r="54" spans="3:4" x14ac:dyDescent="0.25">
      <c r="C54" s="46" t="s">
        <v>47</v>
      </c>
      <c r="D54" s="42">
        <f>COUNTIFS('Feedback data sheet'!C:C,C54)</f>
        <v>2</v>
      </c>
    </row>
    <row r="55" spans="3:4" x14ac:dyDescent="0.25">
      <c r="C55" s="46" t="s">
        <v>43</v>
      </c>
      <c r="D55" s="42">
        <f>COUNTIFS('Feedback data sheet'!C:C,C55)</f>
        <v>6</v>
      </c>
    </row>
    <row r="56" spans="3:4" x14ac:dyDescent="0.25">
      <c r="C56" s="46" t="s">
        <v>54</v>
      </c>
      <c r="D56" s="42">
        <f>COUNTIFS('Feedback data sheet'!C:C,C56)</f>
        <v>2</v>
      </c>
    </row>
    <row r="57" spans="3:4" x14ac:dyDescent="0.25">
      <c r="C57" s="46" t="s">
        <v>73</v>
      </c>
      <c r="D57" s="42">
        <f>COUNTIFS('Feedback data sheet'!C:C,C57)</f>
        <v>1</v>
      </c>
    </row>
    <row r="58" spans="3:4" x14ac:dyDescent="0.25">
      <c r="C58" s="46" t="s">
        <v>22</v>
      </c>
      <c r="D58" s="42">
        <f>COUNTIFS('Feedback data sheet'!C:C,C58)</f>
        <v>2</v>
      </c>
    </row>
    <row r="59" spans="3:4" x14ac:dyDescent="0.25">
      <c r="C59" s="46" t="s">
        <v>42</v>
      </c>
      <c r="D59" s="42">
        <f>COUNTIFS('Feedback data sheet'!C:C,C59)</f>
        <v>2</v>
      </c>
    </row>
    <row r="60" spans="3:4" x14ac:dyDescent="0.25">
      <c r="C60" s="46" t="s">
        <v>34</v>
      </c>
      <c r="D60" s="42">
        <f>COUNTIFS('Feedback data sheet'!C:C,C60)</f>
        <v>2</v>
      </c>
    </row>
    <row r="61" spans="3:4" x14ac:dyDescent="0.25">
      <c r="C61" s="46" t="s">
        <v>71</v>
      </c>
      <c r="D61" s="42">
        <f>COUNTIFS('Feedback data sheet'!C:C,C61)</f>
        <v>1</v>
      </c>
    </row>
    <row r="62" spans="3:4" x14ac:dyDescent="0.25">
      <c r="C62" s="46" t="s">
        <v>82</v>
      </c>
      <c r="D62" s="42">
        <f>COUNTIFS('Feedback data sheet'!C:C,C62)</f>
        <v>1</v>
      </c>
    </row>
    <row r="63" spans="3:4" x14ac:dyDescent="0.25">
      <c r="C63" s="46" t="s">
        <v>32</v>
      </c>
      <c r="D63" s="42">
        <f>COUNTIFS('Feedback data sheet'!C:C,C63)</f>
        <v>2</v>
      </c>
    </row>
    <row r="64" spans="3:4" x14ac:dyDescent="0.25">
      <c r="C64" s="46" t="s">
        <v>37</v>
      </c>
      <c r="D64" s="42">
        <f>COUNTIFS('Feedback data sheet'!C:C,C64)</f>
        <v>2</v>
      </c>
    </row>
    <row r="65" spans="3:4" x14ac:dyDescent="0.25">
      <c r="C65" s="46" t="s">
        <v>68</v>
      </c>
      <c r="D65" s="42">
        <f>COUNTIFS('Feedback data sheet'!C:C,C65)</f>
        <v>1</v>
      </c>
    </row>
    <row r="66" spans="3:4" x14ac:dyDescent="0.25">
      <c r="C66" s="46" t="s">
        <v>66</v>
      </c>
      <c r="D66" s="42">
        <f>COUNTIFS('Feedback data sheet'!C:C,C66)</f>
        <v>1</v>
      </c>
    </row>
    <row r="67" spans="3:4" x14ac:dyDescent="0.25">
      <c r="C67" s="46" t="s">
        <v>50</v>
      </c>
      <c r="D67" s="42">
        <f>COUNTIFS('Feedback data sheet'!C:C,C67)</f>
        <v>2</v>
      </c>
    </row>
    <row r="68" spans="3:4" x14ac:dyDescent="0.25">
      <c r="C68" s="46" t="s">
        <v>28</v>
      </c>
      <c r="D68" s="42">
        <f>COUNTIFS('Feedback data sheet'!C:C,C68)</f>
        <v>2</v>
      </c>
    </row>
    <row r="69" spans="3:4" x14ac:dyDescent="0.25">
      <c r="C69" s="46" t="s">
        <v>52</v>
      </c>
      <c r="D69" s="42">
        <f>COUNTIFS('Feedback data sheet'!C:C,C69)</f>
        <v>5</v>
      </c>
    </row>
    <row r="70" spans="3:4" x14ac:dyDescent="0.25">
      <c r="C70" s="46" t="s">
        <v>78</v>
      </c>
      <c r="D70" s="42">
        <f>COUNTIFS('Feedback data sheet'!C:C,C70)</f>
        <v>1</v>
      </c>
    </row>
    <row r="71" spans="3:4" x14ac:dyDescent="0.25">
      <c r="C71" s="46" t="s">
        <v>90</v>
      </c>
      <c r="D71" s="42">
        <f>COUNTIFS('Feedback data sheet'!C:C,C71)</f>
        <v>1</v>
      </c>
    </row>
    <row r="72" spans="3:4" x14ac:dyDescent="0.25">
      <c r="C72" s="46" t="s">
        <v>88</v>
      </c>
      <c r="D72" s="42">
        <f>COUNTIFS('Feedback data sheet'!C:C,C72)</f>
        <v>1</v>
      </c>
    </row>
    <row r="73" spans="3:4" x14ac:dyDescent="0.25">
      <c r="C73" s="46" t="s">
        <v>49</v>
      </c>
      <c r="D73" s="42">
        <f>COUNTIFS('Feedback data sheet'!C:C,C73)</f>
        <v>2</v>
      </c>
    </row>
    <row r="74" spans="3:4" x14ac:dyDescent="0.25">
      <c r="C74" s="46" t="s">
        <v>58</v>
      </c>
      <c r="D74" s="42">
        <f>COUNTIFS('Feedback data sheet'!C:C,C74)</f>
        <v>1</v>
      </c>
    </row>
    <row r="75" spans="3:4" x14ac:dyDescent="0.25">
      <c r="C75" s="46" t="s">
        <v>31</v>
      </c>
      <c r="D75" s="42">
        <f>COUNTIFS('Feedback data sheet'!C:C,C75)</f>
        <v>2</v>
      </c>
    </row>
    <row r="76" spans="3:4" x14ac:dyDescent="0.25">
      <c r="C76" s="46" t="s">
        <v>62</v>
      </c>
      <c r="D76" s="42">
        <f>COUNTIFS('Feedback data sheet'!C:C,C76)</f>
        <v>1</v>
      </c>
    </row>
    <row r="77" spans="3:4" x14ac:dyDescent="0.25">
      <c r="C77" s="46" t="s">
        <v>30</v>
      </c>
      <c r="D77" s="42">
        <f>COUNTIFS('Feedback data sheet'!C:C,C77)</f>
        <v>2</v>
      </c>
    </row>
    <row r="78" spans="3:4" x14ac:dyDescent="0.25">
      <c r="C78" s="46" t="s">
        <v>65</v>
      </c>
      <c r="D78" s="42">
        <f>COUNTIFS('Feedback data sheet'!C:C,C78)</f>
        <v>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BBD2F-2DF4-45E6-BFDE-F88DFEBF6BB0}">
  <dimension ref="A3:Q43"/>
  <sheetViews>
    <sheetView tabSelected="1" workbookViewId="0">
      <selection activeCell="Q50" sqref="Q50"/>
    </sheetView>
  </sheetViews>
  <sheetFormatPr defaultRowHeight="15" x14ac:dyDescent="0.25"/>
  <cols>
    <col min="1" max="1" width="31" customWidth="1"/>
    <col min="2" max="6" width="12.7109375" customWidth="1"/>
    <col min="7" max="7" width="11.28515625" bestFit="1" customWidth="1"/>
  </cols>
  <sheetData>
    <row r="3" spans="1:12" x14ac:dyDescent="0.25">
      <c r="A3" s="49" t="s">
        <v>332</v>
      </c>
      <c r="B3" s="49" t="s">
        <v>331</v>
      </c>
    </row>
    <row r="4" spans="1:12" x14ac:dyDescent="0.25">
      <c r="A4" s="49" t="s">
        <v>329</v>
      </c>
      <c r="B4">
        <v>1</v>
      </c>
      <c r="C4">
        <v>2</v>
      </c>
      <c r="D4">
        <v>3</v>
      </c>
      <c r="E4">
        <v>4</v>
      </c>
      <c r="F4">
        <v>5</v>
      </c>
      <c r="G4" t="s">
        <v>330</v>
      </c>
    </row>
    <row r="5" spans="1:12" x14ac:dyDescent="0.25">
      <c r="A5" s="50" t="s">
        <v>36</v>
      </c>
      <c r="B5">
        <v>1</v>
      </c>
      <c r="D5">
        <v>1</v>
      </c>
      <c r="E5">
        <v>3</v>
      </c>
      <c r="F5">
        <v>9</v>
      </c>
      <c r="G5">
        <v>14</v>
      </c>
      <c r="I5" s="19">
        <f>F5/G5</f>
        <v>0.6428571428571429</v>
      </c>
    </row>
    <row r="6" spans="1:12" x14ac:dyDescent="0.25">
      <c r="A6" s="50" t="s">
        <v>95</v>
      </c>
      <c r="B6">
        <v>11</v>
      </c>
      <c r="C6">
        <v>4</v>
      </c>
      <c r="D6">
        <v>5</v>
      </c>
      <c r="E6">
        <v>8</v>
      </c>
      <c r="F6">
        <v>41</v>
      </c>
      <c r="G6">
        <v>69</v>
      </c>
      <c r="I6" s="19">
        <f t="shared" ref="I6:I11" si="0">F6/G6</f>
        <v>0.59420289855072461</v>
      </c>
      <c r="L6">
        <f>11/69</f>
        <v>0.15942028985507245</v>
      </c>
    </row>
    <row r="7" spans="1:12" x14ac:dyDescent="0.25">
      <c r="A7" s="50" t="s">
        <v>29</v>
      </c>
      <c r="F7">
        <v>2</v>
      </c>
      <c r="G7">
        <v>2</v>
      </c>
      <c r="I7" s="19">
        <f t="shared" si="0"/>
        <v>1</v>
      </c>
    </row>
    <row r="8" spans="1:12" x14ac:dyDescent="0.25">
      <c r="A8" s="50" t="s">
        <v>96</v>
      </c>
      <c r="F8">
        <v>3</v>
      </c>
      <c r="G8">
        <v>3</v>
      </c>
      <c r="I8" s="19">
        <f t="shared" si="0"/>
        <v>1</v>
      </c>
    </row>
    <row r="9" spans="1:12" x14ac:dyDescent="0.25">
      <c r="A9" s="50" t="s">
        <v>20</v>
      </c>
      <c r="E9">
        <v>1</v>
      </c>
      <c r="G9">
        <v>1</v>
      </c>
      <c r="I9" s="19">
        <f t="shared" si="0"/>
        <v>0</v>
      </c>
    </row>
    <row r="10" spans="1:12" x14ac:dyDescent="0.25">
      <c r="A10" s="50" t="s">
        <v>99</v>
      </c>
      <c r="D10">
        <v>1</v>
      </c>
      <c r="E10">
        <v>1</v>
      </c>
      <c r="F10">
        <v>26</v>
      </c>
      <c r="G10">
        <v>28</v>
      </c>
      <c r="I10" s="19">
        <f t="shared" si="0"/>
        <v>0.9285714285714286</v>
      </c>
    </row>
    <row r="11" spans="1:12" x14ac:dyDescent="0.25">
      <c r="A11" s="50" t="s">
        <v>330</v>
      </c>
      <c r="B11">
        <v>12</v>
      </c>
      <c r="C11">
        <v>4</v>
      </c>
      <c r="D11">
        <v>7</v>
      </c>
      <c r="E11">
        <v>13</v>
      </c>
      <c r="F11">
        <v>81</v>
      </c>
      <c r="G11">
        <v>117</v>
      </c>
      <c r="I11" s="19">
        <f t="shared" si="0"/>
        <v>0.69230769230769229</v>
      </c>
    </row>
    <row r="16" spans="1:12" x14ac:dyDescent="0.25">
      <c r="A16" s="51" t="s">
        <v>333</v>
      </c>
      <c r="B16" s="52" t="s">
        <v>13</v>
      </c>
      <c r="C16" s="52" t="s">
        <v>17</v>
      </c>
    </row>
    <row r="17" spans="1:3" x14ac:dyDescent="0.25">
      <c r="A17" t="s">
        <v>36</v>
      </c>
      <c r="B17" s="18">
        <v>1</v>
      </c>
      <c r="C17" s="18">
        <v>13</v>
      </c>
    </row>
    <row r="18" spans="1:3" x14ac:dyDescent="0.25">
      <c r="A18" t="s">
        <v>334</v>
      </c>
      <c r="B18" s="18">
        <v>19</v>
      </c>
      <c r="C18" s="18">
        <v>50</v>
      </c>
    </row>
    <row r="19" spans="1:3" x14ac:dyDescent="0.25">
      <c r="A19" t="s">
        <v>29</v>
      </c>
      <c r="B19" s="18"/>
      <c r="C19" s="18">
        <v>2</v>
      </c>
    </row>
    <row r="20" spans="1:3" x14ac:dyDescent="0.25">
      <c r="A20" t="s">
        <v>96</v>
      </c>
      <c r="B20" s="18"/>
      <c r="C20" s="18">
        <v>3</v>
      </c>
    </row>
    <row r="21" spans="1:3" x14ac:dyDescent="0.25">
      <c r="A21" t="s">
        <v>20</v>
      </c>
      <c r="B21" s="18"/>
      <c r="C21" s="18">
        <v>1</v>
      </c>
    </row>
    <row r="22" spans="1:3" x14ac:dyDescent="0.25">
      <c r="A22" t="s">
        <v>335</v>
      </c>
      <c r="B22" s="18">
        <v>1</v>
      </c>
      <c r="C22" s="18">
        <v>27</v>
      </c>
    </row>
    <row r="35" spans="1:17" x14ac:dyDescent="0.25">
      <c r="A35" s="49" t="s">
        <v>332</v>
      </c>
      <c r="B35" s="49" t="s">
        <v>331</v>
      </c>
    </row>
    <row r="36" spans="1:17" x14ac:dyDescent="0.25">
      <c r="A36" s="49" t="s">
        <v>329</v>
      </c>
      <c r="B36">
        <v>1</v>
      </c>
      <c r="C36">
        <v>2</v>
      </c>
      <c r="D36">
        <v>3</v>
      </c>
      <c r="E36">
        <v>4</v>
      </c>
      <c r="F36">
        <v>5</v>
      </c>
      <c r="G36">
        <v>6</v>
      </c>
      <c r="H36">
        <v>7</v>
      </c>
      <c r="I36">
        <v>8</v>
      </c>
      <c r="J36">
        <v>9</v>
      </c>
      <c r="K36">
        <v>10</v>
      </c>
      <c r="L36" t="s">
        <v>330</v>
      </c>
      <c r="O36" s="56" t="s">
        <v>337</v>
      </c>
      <c r="P36" s="56" t="s">
        <v>336</v>
      </c>
      <c r="Q36" s="56" t="s">
        <v>338</v>
      </c>
    </row>
    <row r="37" spans="1:17" x14ac:dyDescent="0.25">
      <c r="A37" s="50" t="s">
        <v>36</v>
      </c>
      <c r="B37" s="55">
        <v>1</v>
      </c>
      <c r="C37" s="55"/>
      <c r="D37" s="55"/>
      <c r="E37" s="55"/>
      <c r="F37" s="55"/>
      <c r="G37" s="55"/>
      <c r="H37" s="55"/>
      <c r="I37" s="55">
        <v>2</v>
      </c>
      <c r="J37" s="55">
        <v>2</v>
      </c>
      <c r="K37" s="55">
        <v>9</v>
      </c>
      <c r="L37" s="55">
        <v>14</v>
      </c>
      <c r="N37" t="s">
        <v>36</v>
      </c>
      <c r="O37" s="57">
        <f>-(SUM(B37:G37)/L37)*100</f>
        <v>-7.1428571428571423</v>
      </c>
      <c r="P37" s="57">
        <f>(SUM(J37:K37)/L37)*100</f>
        <v>78.571428571428569</v>
      </c>
      <c r="Q37" s="57">
        <f>P37+O37</f>
        <v>71.428571428571431</v>
      </c>
    </row>
    <row r="38" spans="1:17" x14ac:dyDescent="0.25">
      <c r="A38" s="50" t="s">
        <v>95</v>
      </c>
      <c r="B38" s="55">
        <v>8</v>
      </c>
      <c r="C38" s="55">
        <v>2</v>
      </c>
      <c r="D38" s="55">
        <v>2</v>
      </c>
      <c r="E38" s="55">
        <v>2</v>
      </c>
      <c r="F38" s="55">
        <v>3</v>
      </c>
      <c r="G38" s="55">
        <v>1</v>
      </c>
      <c r="H38" s="55">
        <v>2</v>
      </c>
      <c r="I38" s="55">
        <v>4</v>
      </c>
      <c r="J38" s="55">
        <v>5</v>
      </c>
      <c r="K38" s="55">
        <v>40</v>
      </c>
      <c r="L38" s="55">
        <v>69</v>
      </c>
      <c r="N38" t="s">
        <v>334</v>
      </c>
      <c r="O38" s="57">
        <f t="shared" ref="O38:O43" si="1">-(SUM(B38:G38)/L38)*100</f>
        <v>-26.086956521739129</v>
      </c>
      <c r="P38" s="57">
        <f t="shared" ref="P38:P43" si="2">(SUM(J38:K38)/L38)*100</f>
        <v>65.217391304347828</v>
      </c>
      <c r="Q38" s="57">
        <f t="shared" ref="Q38:Q43" si="3">P38+O38</f>
        <v>39.130434782608702</v>
      </c>
    </row>
    <row r="39" spans="1:17" x14ac:dyDescent="0.25">
      <c r="A39" s="50" t="s">
        <v>29</v>
      </c>
      <c r="B39" s="55"/>
      <c r="C39" s="55"/>
      <c r="D39" s="55"/>
      <c r="E39" s="55"/>
      <c r="F39" s="55"/>
      <c r="G39" s="55"/>
      <c r="H39" s="55"/>
      <c r="I39" s="55"/>
      <c r="J39" s="55"/>
      <c r="K39" s="55">
        <v>2</v>
      </c>
      <c r="L39" s="55">
        <v>2</v>
      </c>
      <c r="N39" t="s">
        <v>29</v>
      </c>
      <c r="O39" s="57">
        <f t="shared" si="1"/>
        <v>0</v>
      </c>
      <c r="P39" s="57">
        <f t="shared" si="2"/>
        <v>100</v>
      </c>
      <c r="Q39" s="57">
        <f t="shared" si="3"/>
        <v>100</v>
      </c>
    </row>
    <row r="40" spans="1:17" x14ac:dyDescent="0.25">
      <c r="A40" s="50" t="s">
        <v>96</v>
      </c>
      <c r="B40" s="55"/>
      <c r="C40" s="55"/>
      <c r="D40" s="55"/>
      <c r="E40" s="55"/>
      <c r="F40" s="55"/>
      <c r="G40" s="55"/>
      <c r="H40" s="55"/>
      <c r="I40" s="55"/>
      <c r="J40" s="55"/>
      <c r="K40" s="55">
        <v>3</v>
      </c>
      <c r="L40" s="55">
        <v>3</v>
      </c>
      <c r="N40" t="s">
        <v>96</v>
      </c>
      <c r="O40" s="57">
        <f t="shared" si="1"/>
        <v>0</v>
      </c>
      <c r="P40" s="57">
        <f t="shared" si="2"/>
        <v>100</v>
      </c>
      <c r="Q40" s="57">
        <f t="shared" si="3"/>
        <v>100</v>
      </c>
    </row>
    <row r="41" spans="1:17" x14ac:dyDescent="0.25">
      <c r="A41" s="50" t="s">
        <v>20</v>
      </c>
      <c r="B41" s="55"/>
      <c r="C41" s="55"/>
      <c r="D41" s="55"/>
      <c r="E41" s="55"/>
      <c r="F41" s="55">
        <v>1</v>
      </c>
      <c r="G41" s="55"/>
      <c r="H41" s="55"/>
      <c r="I41" s="55"/>
      <c r="J41" s="55"/>
      <c r="K41" s="55"/>
      <c r="L41" s="55">
        <v>1</v>
      </c>
      <c r="N41" t="s">
        <v>20</v>
      </c>
      <c r="O41" s="57">
        <f t="shared" si="1"/>
        <v>-100</v>
      </c>
      <c r="P41" s="57">
        <f t="shared" si="2"/>
        <v>0</v>
      </c>
      <c r="Q41" s="57">
        <f t="shared" si="3"/>
        <v>-100</v>
      </c>
    </row>
    <row r="42" spans="1:17" x14ac:dyDescent="0.25">
      <c r="A42" s="50" t="s">
        <v>99</v>
      </c>
      <c r="B42" s="55"/>
      <c r="C42" s="55"/>
      <c r="D42" s="55"/>
      <c r="E42" s="55"/>
      <c r="F42" s="55"/>
      <c r="G42" s="55"/>
      <c r="H42" s="55">
        <v>2</v>
      </c>
      <c r="I42" s="55">
        <v>1</v>
      </c>
      <c r="J42" s="55">
        <v>1</v>
      </c>
      <c r="K42" s="55">
        <v>24</v>
      </c>
      <c r="L42" s="55">
        <v>28</v>
      </c>
      <c r="N42" t="s">
        <v>335</v>
      </c>
      <c r="O42" s="57">
        <f t="shared" si="1"/>
        <v>0</v>
      </c>
      <c r="P42" s="57">
        <f t="shared" si="2"/>
        <v>89.285714285714292</v>
      </c>
      <c r="Q42" s="57">
        <f t="shared" si="3"/>
        <v>89.285714285714292</v>
      </c>
    </row>
    <row r="43" spans="1:17" x14ac:dyDescent="0.25">
      <c r="A43" s="50" t="s">
        <v>330</v>
      </c>
      <c r="B43" s="55">
        <v>9</v>
      </c>
      <c r="C43" s="55">
        <v>2</v>
      </c>
      <c r="D43" s="55">
        <v>2</v>
      </c>
      <c r="E43" s="55">
        <v>2</v>
      </c>
      <c r="F43" s="55">
        <v>4</v>
      </c>
      <c r="G43" s="55">
        <v>1</v>
      </c>
      <c r="H43" s="55">
        <v>4</v>
      </c>
      <c r="I43" s="55">
        <v>7</v>
      </c>
      <c r="J43" s="55">
        <v>8</v>
      </c>
      <c r="K43" s="55">
        <v>78</v>
      </c>
      <c r="L43" s="55">
        <v>117</v>
      </c>
      <c r="O43" s="57">
        <f t="shared" si="1"/>
        <v>-17.094017094017094</v>
      </c>
      <c r="P43" s="57">
        <f t="shared" si="2"/>
        <v>73.504273504273513</v>
      </c>
      <c r="Q43" s="57">
        <f t="shared" si="3"/>
        <v>56.410256410256423</v>
      </c>
    </row>
  </sheetData>
  <pageMargins left="0.7" right="0.7" top="0.75" bottom="0.75" header="0.3" footer="0.3"/>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C0E5E67F4F63544930887E253B333BF" ma:contentTypeVersion="14" ma:contentTypeDescription="Create a new document." ma:contentTypeScope="" ma:versionID="822f6d21c9139640de953da51c567e78">
  <xsd:schema xmlns:xsd="http://www.w3.org/2001/XMLSchema" xmlns:xs="http://www.w3.org/2001/XMLSchema" xmlns:p="http://schemas.microsoft.com/office/2006/metadata/properties" xmlns:ns2="be64c46b-641a-47e1-a883-7dd434c8896f" xmlns:ns3="1b441ff0-689d-44ff-b4b1-061f525d9a91" targetNamespace="http://schemas.microsoft.com/office/2006/metadata/properties" ma:root="true" ma:fieldsID="d5edf27e073e651c66313d88612a7041" ns2:_="" ns3:_="">
    <xsd:import namespace="be64c46b-641a-47e1-a883-7dd434c8896f"/>
    <xsd:import namespace="1b441ff0-689d-44ff-b4b1-061f525d9a9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64c46b-641a-47e1-a883-7dd434c8896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31d7151-b795-48f9-9207-6285658e27ad"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b441ff0-689d-44ff-b4b1-061f525d9a9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4c081123-b382-496d-add0-1ba33c9c5f79}" ma:internalName="TaxCatchAll" ma:showField="CatchAllData" ma:web="1b441ff0-689d-44ff-b4b1-061f525d9a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e64c46b-641a-47e1-a883-7dd434c8896f">
      <Terms xmlns="http://schemas.microsoft.com/office/infopath/2007/PartnerControls"/>
    </lcf76f155ced4ddcb4097134ff3c332f>
    <TaxCatchAll xmlns="1b441ff0-689d-44ff-b4b1-061f525d9a9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54833D5-9F5A-454F-BB39-52E9BB1A1EDC}">
  <ds:schemaRefs>
    <ds:schemaRef ds:uri="http://schemas.microsoft.com/office/2006/metadata/contentType"/>
    <ds:schemaRef ds:uri="http://schemas.microsoft.com/office/2006/metadata/properties/metaAttributes"/>
    <ds:schemaRef ds:uri="http://www.w3.org/2000/xmlns/"/>
    <ds:schemaRef ds:uri="http://www.w3.org/2001/XMLSchema"/>
    <ds:schemaRef ds:uri="be64c46b-641a-47e1-a883-7dd434c8896f"/>
    <ds:schemaRef ds:uri="1b441ff0-689d-44ff-b4b1-061f525d9a91"/>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310D330-B8D8-45A2-953E-8EB5834EC863}">
  <ds:schemaRefs>
    <ds:schemaRef ds:uri="http://schemas.microsoft.com/office/2006/metadata/properties"/>
    <ds:schemaRef ds:uri="http://www.w3.org/2000/xmlns/"/>
    <ds:schemaRef ds:uri="be64c46b-641a-47e1-a883-7dd434c8896f"/>
    <ds:schemaRef ds:uri="http://schemas.microsoft.com/office/infopath/2007/PartnerControls"/>
    <ds:schemaRef ds:uri="1b441ff0-689d-44ff-b4b1-061f525d9a91"/>
    <ds:schemaRef ds:uri="http://www.w3.org/2001/XMLSchema-instance"/>
  </ds:schemaRefs>
</ds:datastoreItem>
</file>

<file path=customXml/itemProps3.xml><?xml version="1.0" encoding="utf-8"?>
<ds:datastoreItem xmlns:ds="http://schemas.openxmlformats.org/officeDocument/2006/customXml" ds:itemID="{BBE701EB-0F0A-449A-BB6C-9EF24AE02EE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Feedback data sheet</vt:lpstr>
      <vt:lpstr>Tables</vt:lpstr>
      <vt:lpstr>Pivots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Hannah Ogundipe Akinbode</dc:creator>
  <cp:keywords/>
  <dc:description/>
  <cp:lastModifiedBy>Sherwin Sacki</cp:lastModifiedBy>
  <cp:revision/>
  <dcterms:created xsi:type="dcterms:W3CDTF">2022-01-14T12:51:13Z</dcterms:created>
  <dcterms:modified xsi:type="dcterms:W3CDTF">2024-06-19T14:11:07Z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qinzen@microsoft.com</vt:lpwstr>
  </property>
  <property fmtid="{D5CDD505-2E9C-101B-9397-08002B2CF9AE}" pid="5" name="MSIP_Label_f42aa342-8706-4288-bd11-ebb85995028c_SetDate">
    <vt:lpwstr>2018-05-23T11:41:12.6969027Z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y fmtid="{D5CDD505-2E9C-101B-9397-08002B2CF9AE}" pid="10" name="ContentTypeId">
    <vt:lpwstr>0x0101003C0E5E67F4F63544930887E253B333BF</vt:lpwstr>
  </property>
</Properties>
</file>